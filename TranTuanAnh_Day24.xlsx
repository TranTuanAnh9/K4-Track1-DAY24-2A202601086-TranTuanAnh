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24360" tabRatio="500" firstSheet="0" activeTab="0" autoFilterDateGrouping="1"/>
  </bookViews>
  <sheets>
    <sheet xmlns:r="http://schemas.openxmlformats.org/officeDocument/2006/relationships" name="1. Assumptions" sheetId="1" state="visible" r:id="rId1"/>
    <sheet xmlns:r="http://schemas.openxmlformats.org/officeDocument/2006/relationships" name="2. Unit Economics" sheetId="2" state="visible" r:id="rId2"/>
    <sheet xmlns:r="http://schemas.openxmlformats.org/officeDocument/2006/relationships" name="3. P&amp;L &amp; ROI" sheetId="3" state="visible" r:id="rId3"/>
  </sheets>
  <definedNames/>
  <calcPr calcId="191029" fullCalcOnLoad="1"/>
</workbook>
</file>

<file path=xl/styles.xml><?xml version="1.0" encoding="utf-8"?>
<styleSheet xmlns="http://schemas.openxmlformats.org/spreadsheetml/2006/main">
  <numFmts count="5">
    <numFmt numFmtId="164" formatCode="#,##0;\(#,##0\);\-"/>
    <numFmt numFmtId="165" formatCode="0.0%;\(0.0%\);\-"/>
    <numFmt numFmtId="166" formatCode="0.0&quot; tháng&quot;"/>
    <numFmt numFmtId="167" formatCode="0.00\x"/>
    <numFmt numFmtId="168" formatCode="0.00%;\(0.00%\);\-"/>
  </numFmts>
  <fonts count="41">
    <font>
      <name val="Calibri"/>
      <charset val="1"/>
      <color theme="1"/>
      <sz val="11"/>
    </font>
    <font>
      <name val="Arial"/>
      <charset val="1"/>
      <b val="1"/>
      <color rgb="FFFFFFFF"/>
      <sz val="16"/>
    </font>
    <font>
      <name val="Arial"/>
      <charset val="1"/>
      <b val="1"/>
      <color rgb="FF0F3460"/>
      <sz val="11"/>
    </font>
    <font>
      <name val="Arial"/>
      <charset val="1"/>
      <b val="1"/>
      <color rgb="FF0000FF"/>
      <sz val="11"/>
    </font>
    <font>
      <name val="Arial"/>
      <charset val="1"/>
      <i val="1"/>
      <color rgb="FF64748B"/>
      <sz val="9"/>
    </font>
    <font>
      <name val="Arial"/>
      <charset val="1"/>
      <b val="1"/>
      <i val="1"/>
      <color rgb="FF0F3460"/>
      <sz val="9"/>
    </font>
    <font>
      <name val="Arial"/>
      <charset val="1"/>
      <i val="1"/>
      <color rgb="FF008000"/>
      <sz val="9"/>
    </font>
    <font>
      <name val="Arial"/>
      <charset val="1"/>
      <b val="1"/>
      <color rgb="FFFFFFFF"/>
      <sz val="11"/>
    </font>
    <font>
      <name val="Arial"/>
      <charset val="1"/>
      <b val="1"/>
      <sz val="10"/>
    </font>
    <font>
      <name val="Arial"/>
      <charset val="1"/>
      <b val="1"/>
      <sz val="9"/>
    </font>
    <font>
      <name val="Arial"/>
      <charset val="1"/>
      <color rgb="FF000000"/>
      <sz val="10"/>
    </font>
    <font>
      <name val="Arial"/>
      <charset val="1"/>
      <sz val="9"/>
    </font>
    <font>
      <name val="Arial"/>
      <charset val="1"/>
      <b val="1"/>
      <color rgb="FF000000"/>
      <sz val="10"/>
    </font>
    <font>
      <name val="Arial"/>
      <charset val="1"/>
      <b val="1"/>
      <color rgb="FF000000"/>
      <sz val="11"/>
    </font>
    <font>
      <name val="Arial"/>
      <charset val="1"/>
      <b val="1"/>
      <sz val="11"/>
    </font>
    <font>
      <name val="Arial"/>
      <charset val="1"/>
      <i val="1"/>
      <color rgb="FF94A3B8"/>
      <sz val="8"/>
    </font>
    <font>
      <name val="Arial"/>
      <charset val="1"/>
      <b val="1"/>
      <sz val="12"/>
    </font>
    <font>
      <name val="Arial"/>
      <charset val="1"/>
      <color rgb="FF008000"/>
      <sz val="10"/>
    </font>
    <font>
      <name val="Arial"/>
      <charset val="1"/>
      <b val="1"/>
      <color rgb="FF0000FF"/>
      <sz val="10"/>
    </font>
    <font>
      <name val="Arial"/>
      <charset val="1"/>
      <i val="1"/>
      <color rgb="FF0000FF"/>
      <sz val="10"/>
    </font>
    <font>
      <name val="Arial"/>
      <charset val="134"/>
      <sz val="10"/>
    </font>
    <font>
      <name val="Calibri"/>
      <charset val="0"/>
      <color rgb="FF0000FF"/>
      <sz val="11"/>
      <u val="single"/>
      <scheme val="minor"/>
    </font>
    <font>
      <name val="Calibri"/>
      <charset val="0"/>
      <color rgb="FF800080"/>
      <sz val="11"/>
      <u val="single"/>
      <scheme val="minor"/>
    </font>
    <font>
      <name val="Calibri"/>
      <charset val="134"/>
      <color theme="1"/>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0">
    <fill>
      <patternFill/>
    </fill>
    <fill>
      <patternFill patternType="gray125"/>
    </fill>
    <fill>
      <patternFill patternType="solid">
        <fgColor rgb="FF1A1A2E"/>
        <bgColor rgb="FF0F3460"/>
      </patternFill>
    </fill>
    <fill>
      <patternFill patternType="solid">
        <fgColor rgb="FFFFFF00"/>
        <bgColor rgb="FFFFFF00"/>
      </patternFill>
    </fill>
    <fill>
      <patternFill patternType="solid">
        <fgColor rgb="FF0F3460"/>
        <bgColor rgb="FF1A1A2E"/>
      </patternFill>
    </fill>
    <fill>
      <patternFill patternType="solid">
        <fgColor rgb="FFF1F5F9"/>
        <bgColor rgb="FFFFFFFF"/>
      </patternFill>
    </fill>
    <fill>
      <patternFill patternType="solid">
        <fgColor rgb="FFDCFCE7"/>
        <bgColor rgb="FFCCFFCC"/>
      </patternFill>
    </fill>
    <fill>
      <patternFill patternType="solid">
        <fgColor rgb="FFFEF3C7"/>
        <bgColor rgb="FFFEE2E2"/>
      </patternFill>
    </fill>
    <fill>
      <patternFill patternType="solid">
        <fgColor rgb="FFFEE2E2"/>
        <bgColor rgb="FFFEF3C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CBD5E1"/>
      </top>
      <bottom/>
      <diagonal/>
    </border>
    <border>
      <left style="thin">
        <color rgb="FFCBD5E1"/>
      </left>
      <right/>
      <top/>
      <bottom/>
      <diagonal/>
    </border>
  </borders>
  <cellStyleXfs count="49">
    <xf numFmtId="0" fontId="0" fillId="0" borderId="0"/>
    <xf numFmtId="43" fontId="20" fillId="0" borderId="0"/>
    <xf numFmtId="44" fontId="20" fillId="0" borderId="0"/>
    <xf numFmtId="9" fontId="20" fillId="0" borderId="0"/>
    <xf numFmtId="41" fontId="20" fillId="0" borderId="0"/>
    <xf numFmtId="42" fontId="20" fillId="0" borderId="0"/>
    <xf numFmtId="0" fontId="21" fillId="0" borderId="0" applyAlignment="1">
      <alignment vertical="center"/>
    </xf>
    <xf numFmtId="0" fontId="22" fillId="0" borderId="0" applyAlignment="1">
      <alignment vertical="center"/>
    </xf>
    <xf numFmtId="0" fontId="23" fillId="9" borderId="4" applyAlignment="1">
      <alignment vertical="center"/>
    </xf>
    <xf numFmtId="0" fontId="24" fillId="0" borderId="0" applyAlignment="1">
      <alignment vertical="center"/>
    </xf>
    <xf numFmtId="0" fontId="25" fillId="0" borderId="0" applyAlignment="1">
      <alignment vertical="center"/>
    </xf>
    <xf numFmtId="0" fontId="26" fillId="0" borderId="0" applyAlignment="1">
      <alignment vertical="center"/>
    </xf>
    <xf numFmtId="0" fontId="27" fillId="0" borderId="5" applyAlignment="1">
      <alignment vertical="center"/>
    </xf>
    <xf numFmtId="0" fontId="28" fillId="0" borderId="5" applyAlignment="1">
      <alignment vertical="center"/>
    </xf>
    <xf numFmtId="0" fontId="29" fillId="0" borderId="6" applyAlignment="1">
      <alignment vertical="center"/>
    </xf>
    <xf numFmtId="0" fontId="29" fillId="0" borderId="0" applyAlignment="1">
      <alignment vertical="center"/>
    </xf>
    <xf numFmtId="0" fontId="30" fillId="10" borderId="7" applyAlignment="1">
      <alignment vertical="center"/>
    </xf>
    <xf numFmtId="0" fontId="31" fillId="11" borderId="8" applyAlignment="1">
      <alignment vertical="center"/>
    </xf>
    <xf numFmtId="0" fontId="32" fillId="11" borderId="7" applyAlignment="1">
      <alignment vertical="center"/>
    </xf>
    <xf numFmtId="0" fontId="33" fillId="12" borderId="9" applyAlignment="1">
      <alignment vertical="center"/>
    </xf>
    <xf numFmtId="0" fontId="34" fillId="0" borderId="10" applyAlignment="1">
      <alignment vertical="center"/>
    </xf>
    <xf numFmtId="0" fontId="35" fillId="0" borderId="11"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40" fillId="17" borderId="0" applyAlignment="1">
      <alignment vertical="center"/>
    </xf>
    <xf numFmtId="0" fontId="40" fillId="18" borderId="0" applyAlignment="1">
      <alignment vertical="center"/>
    </xf>
    <xf numFmtId="0" fontId="39" fillId="19" borderId="0" applyAlignment="1">
      <alignment vertical="center"/>
    </xf>
    <xf numFmtId="0" fontId="39" fillId="20" borderId="0" applyAlignment="1">
      <alignment vertical="center"/>
    </xf>
    <xf numFmtId="0" fontId="40" fillId="21" borderId="0" applyAlignment="1">
      <alignment vertical="center"/>
    </xf>
    <xf numFmtId="0" fontId="40" fillId="22" borderId="0" applyAlignment="1">
      <alignment vertical="center"/>
    </xf>
    <xf numFmtId="0" fontId="39" fillId="23" borderId="0" applyAlignment="1">
      <alignment vertical="center"/>
    </xf>
    <xf numFmtId="0" fontId="39" fillId="24" borderId="0" applyAlignment="1">
      <alignment vertical="center"/>
    </xf>
    <xf numFmtId="0" fontId="40" fillId="25" borderId="0" applyAlignment="1">
      <alignment vertical="center"/>
    </xf>
    <xf numFmtId="0" fontId="40" fillId="26" borderId="0" applyAlignment="1">
      <alignment vertical="center"/>
    </xf>
    <xf numFmtId="0" fontId="39" fillId="27" borderId="0" applyAlignment="1">
      <alignment vertical="center"/>
    </xf>
    <xf numFmtId="0" fontId="39" fillId="28" borderId="0" applyAlignment="1">
      <alignment vertical="center"/>
    </xf>
    <xf numFmtId="0" fontId="40" fillId="29" borderId="0" applyAlignment="1">
      <alignment vertical="center"/>
    </xf>
    <xf numFmtId="0" fontId="40" fillId="30" borderId="0" applyAlignment="1">
      <alignment vertical="center"/>
    </xf>
    <xf numFmtId="0" fontId="39" fillId="31" borderId="0" applyAlignment="1">
      <alignment vertical="center"/>
    </xf>
    <xf numFmtId="0" fontId="39" fillId="32" borderId="0" applyAlignment="1">
      <alignment vertical="center"/>
    </xf>
    <xf numFmtId="0" fontId="40" fillId="33" borderId="0" applyAlignment="1">
      <alignment vertical="center"/>
    </xf>
    <xf numFmtId="0" fontId="40" fillId="34" borderId="0" applyAlignment="1">
      <alignment vertical="center"/>
    </xf>
    <xf numFmtId="0" fontId="39" fillId="35" borderId="0" applyAlignment="1">
      <alignment vertical="center"/>
    </xf>
    <xf numFmtId="0" fontId="39" fillId="36" borderId="0" applyAlignment="1">
      <alignment vertical="center"/>
    </xf>
    <xf numFmtId="0" fontId="40" fillId="37" borderId="0" applyAlignment="1">
      <alignment vertical="center"/>
    </xf>
    <xf numFmtId="0" fontId="40" fillId="38" borderId="0" applyAlignment="1">
      <alignment vertical="center"/>
    </xf>
    <xf numFmtId="0" fontId="39" fillId="39" borderId="0" applyAlignment="1">
      <alignment vertical="center"/>
    </xf>
  </cellStyleXfs>
  <cellXfs count="7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right" vertical="center"/>
    </xf>
    <xf numFmtId="0" fontId="3" fillId="3" borderId="1" applyAlignment="1" pivotButton="0" quotePrefix="0" xfId="0">
      <alignment horizontal="center" vertical="center"/>
    </xf>
    <xf numFmtId="0" fontId="4" fillId="0" borderId="0" applyAlignment="1" pivotButton="0" quotePrefix="0" xfId="0">
      <alignment horizontal="left" vertical="center" wrapText="1"/>
    </xf>
    <xf numFmtId="0" fontId="4" fillId="0" borderId="0" pivotButton="0" quotePrefix="0" xfId="0"/>
    <xf numFmtId="0" fontId="5" fillId="0" borderId="0" pivotButton="0" quotePrefix="0" xfId="0"/>
    <xf numFmtId="0" fontId="4" fillId="0" borderId="0" applyAlignment="1" pivotButton="0" quotePrefix="0" xfId="0">
      <alignment horizontal="left" vertical="center" indent="1"/>
    </xf>
    <xf numFmtId="164" fontId="6" fillId="0" borderId="0" applyAlignment="1" pivotButton="0" quotePrefix="0" xfId="0">
      <alignment horizontal="right" vertical="center"/>
    </xf>
    <xf numFmtId="165" fontId="6" fillId="0" borderId="0" applyAlignment="1" pivotButton="0" quotePrefix="0" xfId="0">
      <alignment horizontal="right" vertical="center"/>
    </xf>
    <xf numFmtId="0" fontId="7" fillId="4" borderId="0" applyAlignment="1" pivotButton="0" quotePrefix="0" xfId="0">
      <alignment horizontal="left" vertical="center" indent="1"/>
    </xf>
    <xf numFmtId="0" fontId="8" fillId="5" borderId="0" pivotButton="0" quotePrefix="0" xfId="0"/>
    <xf numFmtId="0" fontId="9" fillId="5" borderId="0" applyAlignment="1" pivotButton="0" quotePrefix="0" xfId="0">
      <alignment horizontal="center"/>
    </xf>
    <xf numFmtId="0" fontId="10" fillId="0" borderId="0" applyAlignment="1" pivotButton="0" quotePrefix="0" xfId="0">
      <alignment horizontal="left" vertical="center" indent="1"/>
    </xf>
    <xf numFmtId="164" fontId="11" fillId="0" borderId="0" applyAlignment="1" pivotButton="0" quotePrefix="0" xfId="0">
      <alignment horizontal="right"/>
    </xf>
    <xf numFmtId="0" fontId="12" fillId="6" borderId="0" applyAlignment="1" pivotButton="0" quotePrefix="0" xfId="0">
      <alignment horizontal="left" vertical="center"/>
    </xf>
    <xf numFmtId="164" fontId="9" fillId="6" borderId="0" applyAlignment="1" pivotButton="0" quotePrefix="0" xfId="0">
      <alignment horizontal="right"/>
    </xf>
    <xf numFmtId="0" fontId="12" fillId="0" borderId="0" applyAlignment="1" pivotButton="0" quotePrefix="0" xfId="0">
      <alignment horizontal="left" vertical="center"/>
    </xf>
    <xf numFmtId="164" fontId="9" fillId="0" borderId="0" applyAlignment="1" pivotButton="0" quotePrefix="0" xfId="0">
      <alignment horizontal="right"/>
    </xf>
    <xf numFmtId="0" fontId="12" fillId="5" borderId="0" applyAlignment="1" pivotButton="0" quotePrefix="0" xfId="0">
      <alignment horizontal="left" vertical="center"/>
    </xf>
    <xf numFmtId="164" fontId="9" fillId="5" borderId="0" applyAlignment="1" pivotButton="0" quotePrefix="0" xfId="0">
      <alignment horizontal="right"/>
    </xf>
    <xf numFmtId="0" fontId="12" fillId="7" borderId="0" applyAlignment="1" pivotButton="0" quotePrefix="0" xfId="0">
      <alignment horizontal="left" vertical="center"/>
    </xf>
    <xf numFmtId="164" fontId="9" fillId="7" borderId="0" applyAlignment="1" pivotButton="0" quotePrefix="0" xfId="0">
      <alignment horizontal="right"/>
    </xf>
    <xf numFmtId="164" fontId="13" fillId="0" borderId="0" applyAlignment="1" pivotButton="0" quotePrefix="0" xfId="0">
      <alignment horizontal="right"/>
    </xf>
    <xf numFmtId="165" fontId="14" fillId="0" borderId="0" applyAlignment="1" pivotButton="0" quotePrefix="0" xfId="0">
      <alignment horizontal="right"/>
    </xf>
    <xf numFmtId="0" fontId="14" fillId="0" borderId="0" applyAlignment="1" pivotButton="0" quotePrefix="0" xfId="0">
      <alignment horizontal="right"/>
    </xf>
    <xf numFmtId="0" fontId="15" fillId="0" borderId="0" pivotButton="0" quotePrefix="0" xfId="0"/>
    <xf numFmtId="164" fontId="15" fillId="0" borderId="0" applyAlignment="1" pivotButton="0" quotePrefix="0" xfId="0">
      <alignment horizontal="right"/>
    </xf>
    <xf numFmtId="0" fontId="16" fillId="0" borderId="0" applyAlignment="1" pivotButton="0" quotePrefix="0" xfId="0">
      <alignment horizontal="left" vertical="center"/>
    </xf>
    <xf numFmtId="0" fontId="8" fillId="5" borderId="0" applyAlignment="1" pivotButton="0" quotePrefix="0" xfId="0">
      <alignment horizontal="center"/>
    </xf>
    <xf numFmtId="164" fontId="8" fillId="0" borderId="0" pivotButton="0" quotePrefix="0" xfId="0"/>
    <xf numFmtId="164" fontId="8" fillId="6" borderId="0" pivotButton="0" quotePrefix="0" xfId="0"/>
    <xf numFmtId="164" fontId="8" fillId="5" borderId="0" pivotButton="0" quotePrefix="0" xfId="0"/>
    <xf numFmtId="0" fontId="12" fillId="6" borderId="0" applyAlignment="1" pivotButton="0" quotePrefix="0" xfId="0">
      <alignment horizontal="center"/>
    </xf>
    <xf numFmtId="0" fontId="12" fillId="5" borderId="0" applyAlignment="1" pivotButton="0" quotePrefix="0" xfId="0">
      <alignment horizontal="center"/>
    </xf>
    <xf numFmtId="164" fontId="17" fillId="0" borderId="0" applyAlignment="1" pivotButton="0" quotePrefix="0" xfId="0">
      <alignment horizontal="right" vertical="center"/>
    </xf>
    <xf numFmtId="164" fontId="12" fillId="5" borderId="0" applyAlignment="1" pivotButton="0" quotePrefix="0" xfId="0">
      <alignment horizontal="right" vertical="center"/>
    </xf>
    <xf numFmtId="165" fontId="12" fillId="5" borderId="0" applyAlignment="1" pivotButton="0" quotePrefix="0" xfId="0">
      <alignment horizontal="right" vertical="center"/>
    </xf>
    <xf numFmtId="166" fontId="17" fillId="0" borderId="0" applyAlignment="1" pivotButton="0" quotePrefix="0" xfId="0">
      <alignment horizontal="right" vertical="center"/>
    </xf>
    <xf numFmtId="167" fontId="12" fillId="5" borderId="0" applyAlignment="1" pivotButton="0" quotePrefix="0" xfId="0">
      <alignment horizontal="right" vertical="center"/>
    </xf>
    <xf numFmtId="166" fontId="12" fillId="5" borderId="0" applyAlignment="1" pivotButton="0" quotePrefix="0" xfId="0">
      <alignment horizontal="right" vertical="center"/>
    </xf>
    <xf numFmtId="0" fontId="14" fillId="0" borderId="0" applyAlignment="1" pivotButton="0" quotePrefix="0" xfId="0">
      <alignment horizontal="center" vertical="center"/>
    </xf>
    <xf numFmtId="0" fontId="12" fillId="8" borderId="0" applyAlignment="1" pivotButton="0" quotePrefix="0" xfId="0">
      <alignment horizontal="center"/>
    </xf>
    <xf numFmtId="0" fontId="12" fillId="0" borderId="0" applyAlignment="1" pivotButton="0" quotePrefix="0" xfId="0">
      <alignment horizontal="center"/>
    </xf>
    <xf numFmtId="0" fontId="10" fillId="0" borderId="0" applyAlignment="1" pivotButton="0" quotePrefix="0" xfId="0">
      <alignment horizontal="center"/>
    </xf>
    <xf numFmtId="0" fontId="4" fillId="0" borderId="0" applyAlignment="1" pivotButton="0" quotePrefix="0" xfId="0">
      <alignment horizontal="left" vertical="center" wrapText="1"/>
    </xf>
    <xf numFmtId="0" fontId="0" fillId="5" borderId="0" pivotButton="0" quotePrefix="0" xfId="0"/>
    <xf numFmtId="164" fontId="18" fillId="3" borderId="1" applyAlignment="1" pivotButton="0" quotePrefix="0" xfId="0">
      <alignment horizontal="right" vertical="center"/>
    </xf>
    <xf numFmtId="168" fontId="18" fillId="3" borderId="1" applyAlignment="1" pivotButton="0" quotePrefix="0" xfId="0">
      <alignment horizontal="right" vertical="center"/>
    </xf>
    <xf numFmtId="0" fontId="12" fillId="5" borderId="2" applyAlignment="1" pivotButton="0" quotePrefix="0" xfId="0">
      <alignment horizontal="left" vertical="center"/>
    </xf>
    <xf numFmtId="164" fontId="12" fillId="5" borderId="2" applyAlignment="1" pivotButton="0" quotePrefix="0" xfId="0">
      <alignment horizontal="right" vertical="center"/>
    </xf>
    <xf numFmtId="165" fontId="18" fillId="3" borderId="1" applyAlignment="1" pivotButton="0" quotePrefix="0" xfId="0">
      <alignment horizontal="right" vertical="center"/>
    </xf>
    <xf numFmtId="0" fontId="19" fillId="3" borderId="3" applyAlignment="1" pivotButton="0" quotePrefix="0" xfId="0">
      <alignment horizontal="left" vertical="top" wrapText="1" indent="1"/>
    </xf>
    <xf numFmtId="0" fontId="0" fillId="5" borderId="2" pivotButton="0" quotePrefix="0" xfId="0"/>
    <xf numFmtId="164" fontId="18" fillId="3" borderId="1" applyAlignment="1" pivotButton="0" quotePrefix="0" xfId="0">
      <alignment horizontal="right" vertical="center"/>
    </xf>
    <xf numFmtId="168" fontId="18" fillId="3" borderId="1" applyAlignment="1" pivotButton="0" quotePrefix="0" xfId="0">
      <alignment horizontal="right" vertical="center"/>
    </xf>
    <xf numFmtId="165" fontId="18" fillId="3" borderId="1" applyAlignment="1" pivotButton="0" quotePrefix="0" xfId="0">
      <alignment horizontal="right" vertical="center"/>
    </xf>
    <xf numFmtId="164" fontId="12" fillId="5" borderId="2" applyAlignment="1" pivotButton="0" quotePrefix="0" xfId="0">
      <alignment horizontal="right" vertical="center"/>
    </xf>
    <xf numFmtId="166" fontId="12" fillId="5" borderId="0" applyAlignment="1" pivotButton="0" quotePrefix="0" xfId="0">
      <alignment horizontal="right" vertical="center"/>
    </xf>
    <xf numFmtId="164" fontId="12" fillId="5" borderId="0" applyAlignment="1" pivotButton="0" quotePrefix="0" xfId="0">
      <alignment horizontal="right" vertical="center"/>
    </xf>
    <xf numFmtId="165" fontId="12" fillId="5" borderId="0" applyAlignment="1" pivotButton="0" quotePrefix="0" xfId="0">
      <alignment horizontal="right" vertical="center"/>
    </xf>
    <xf numFmtId="0" fontId="0" fillId="0" borderId="12" pivotButton="0" quotePrefix="0" xfId="0"/>
    <xf numFmtId="0" fontId="0" fillId="0" borderId="13" pivotButton="0" quotePrefix="0" xfId="0"/>
    <xf numFmtId="164" fontId="17" fillId="0" borderId="0" applyAlignment="1" pivotButton="0" quotePrefix="0" xfId="0">
      <alignment horizontal="right" vertical="center"/>
    </xf>
    <xf numFmtId="166" fontId="17" fillId="0" borderId="0" applyAlignment="1" pivotButton="0" quotePrefix="0" xfId="0">
      <alignment horizontal="right" vertical="center"/>
    </xf>
    <xf numFmtId="167" fontId="12" fillId="5" borderId="0" applyAlignment="1" pivotButton="0" quotePrefix="0" xfId="0">
      <alignment horizontal="right" vertical="center"/>
    </xf>
    <xf numFmtId="164" fontId="6" fillId="0" borderId="0" applyAlignment="1" pivotButton="0" quotePrefix="0" xfId="0">
      <alignment horizontal="right" vertical="center"/>
    </xf>
    <xf numFmtId="165" fontId="6" fillId="0" borderId="0" applyAlignment="1" pivotButton="0" quotePrefix="0" xfId="0">
      <alignment horizontal="right" vertical="center"/>
    </xf>
    <xf numFmtId="164" fontId="11" fillId="0" borderId="0" applyAlignment="1" pivotButton="0" quotePrefix="0" xfId="0">
      <alignment horizontal="right"/>
    </xf>
    <xf numFmtId="164" fontId="8" fillId="0" borderId="0" pivotButton="0" quotePrefix="0" xfId="0"/>
    <xf numFmtId="164" fontId="9" fillId="6" borderId="0" applyAlignment="1" pivotButton="0" quotePrefix="0" xfId="0">
      <alignment horizontal="right"/>
    </xf>
    <xf numFmtId="164" fontId="8" fillId="6" borderId="0" pivotButton="0" quotePrefix="0" xfId="0"/>
    <xf numFmtId="164" fontId="9" fillId="0" borderId="0" applyAlignment="1" pivotButton="0" quotePrefix="0" xfId="0">
      <alignment horizontal="right"/>
    </xf>
    <xf numFmtId="164" fontId="9" fillId="5" borderId="0" applyAlignment="1" pivotButton="0" quotePrefix="0" xfId="0">
      <alignment horizontal="right"/>
    </xf>
    <xf numFmtId="164" fontId="8" fillId="5" borderId="0" pivotButton="0" quotePrefix="0" xfId="0"/>
    <xf numFmtId="164" fontId="9" fillId="7" borderId="0" applyAlignment="1" pivotButton="0" quotePrefix="0" xfId="0">
      <alignment horizontal="right"/>
    </xf>
    <xf numFmtId="164" fontId="13" fillId="0" borderId="0" applyAlignment="1" pivotButton="0" quotePrefix="0" xfId="0">
      <alignment horizontal="right"/>
    </xf>
    <xf numFmtId="165" fontId="14" fillId="0" borderId="0" applyAlignment="1" pivotButton="0" quotePrefix="0" xfId="0">
      <alignment horizontal="right"/>
    </xf>
    <xf numFmtId="164" fontId="15" fillId="0" borderId="0" applyAlignment="1" pivotButton="0" quotePrefix="0" xfId="0">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3">
    <dxf>
      <font>
        <name val="Arial"/>
        <charset val="1"/>
        <family val="0"/>
        <b val="1"/>
        <color rgb="FFDC2626"/>
        <sz val="10"/>
      </font>
      <fill>
        <patternFill patternType="solid">
          <bgColor rgb="FFFEE2E2"/>
        </patternFill>
      </fill>
    </dxf>
    <dxf>
      <font>
        <name val="Arial"/>
        <charset val="1"/>
        <family val="0"/>
        <b val="1"/>
        <color rgb="FFD97706"/>
        <sz val="10"/>
      </font>
      <fill>
        <patternFill patternType="solid">
          <bgColor rgb="FFFEF3C7"/>
        </patternFill>
      </fill>
    </dxf>
    <dxf>
      <font>
        <name val="Arial"/>
        <charset val="1"/>
        <family val="0"/>
        <b val="1"/>
        <color rgb="FF16A34A"/>
        <sz val="10"/>
      </font>
      <fill>
        <patternFill patternType="solid">
          <bgColor rgb="FFDCFCE7"/>
        </patternFill>
      </fill>
    </dxf>
    <dxf>
      <font>
        <name val="Arial"/>
        <charset val="1"/>
        <family val="0"/>
        <b val="1"/>
        <color rgb="FFDC2626"/>
        <sz val="9"/>
      </font>
      <fill>
        <patternFill patternType="solid">
          <bgColor rgb="FFFEE2E2"/>
        </patternFill>
      </fill>
    </dxf>
    <dxf>
      <font>
        <name val="Arial"/>
        <charset val="1"/>
        <family val="0"/>
        <b val="1"/>
        <color rgb="FF16A34A"/>
        <sz val="11"/>
      </font>
      <fill>
        <patternFill patternType="solid">
          <bgColor rgb="FFDCFCE7"/>
        </patternFill>
      </fill>
    </dxf>
    <dxf>
      <font>
        <name val="Arial"/>
        <charset val="1"/>
        <family val="0"/>
        <b val="1"/>
        <color rgb="FFDC2626"/>
        <sz val="11"/>
      </font>
      <fill>
        <patternFill patternType="solid">
          <bgColor rgb="FFFEE2E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EF3C7"/>
      <rgbColor rgb="00DCFCE7"/>
      <rgbColor rgb="00660066"/>
      <rgbColor rgb="00FF8080"/>
      <rgbColor rgb="000066CC"/>
      <rgbColor rgb="00CBD5E1"/>
      <rgbColor rgb="00000080"/>
      <rgbColor rgb="00FF00FF"/>
      <rgbColor rgb="00FFFF00"/>
      <rgbColor rgb="0000FFFF"/>
      <rgbColor rgb="00800080"/>
      <rgbColor rgb="00800000"/>
      <rgbColor rgb="00008080"/>
      <rgbColor rgb="000000FF"/>
      <rgbColor rgb="0000CCFF"/>
      <rgbColor rgb="00F1F5F9"/>
      <rgbColor rgb="00CCFFCC"/>
      <rgbColor rgb="00FFFF99"/>
      <rgbColor rgb="0099CCFF"/>
      <rgbColor rgb="00FF99CC"/>
      <rgbColor rgb="00CC99FF"/>
      <rgbColor rgb="00FEE2E2"/>
      <rgbColor rgb="003366FF"/>
      <rgbColor rgb="0033CCCC"/>
      <rgbColor rgb="0099CC00"/>
      <rgbColor rgb="00FFCC00"/>
      <rgbColor rgb="00FF9900"/>
      <rgbColor rgb="00D97706"/>
      <rgbColor rgb="0064748B"/>
      <rgbColor rgb="0094A3B8"/>
      <rgbColor rgb="000F3460"/>
      <rgbColor rgb="0016A34A"/>
      <rgbColor rgb="00003300"/>
      <rgbColor rgb="00333300"/>
      <rgbColor rgb="00993300"/>
      <rgbColor rgb="00993366"/>
      <rgbColor rgb="00333399"/>
      <rgbColor rgb="001A1A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2:G41"/>
  <sheetViews>
    <sheetView tabSelected="1" zoomScale="171" zoomScaleNormal="171" workbookViewId="0">
      <pane ySplit="5" topLeftCell="A6" activePane="bottomLeft" state="frozen"/>
      <selection activeCell="A1" sqref="A1"/>
      <selection pane="bottomLeft" activeCell="C28" sqref="C28"/>
    </sheetView>
  </sheetViews>
  <sheetFormatPr baseColWidth="8" defaultColWidth="8.6796875" defaultRowHeight="16.8"/>
  <cols>
    <col width="3" customWidth="1" min="1" max="1"/>
    <col width="38" customWidth="1" min="2" max="2"/>
    <col width="16" customWidth="1" min="3" max="5"/>
    <col width="14" customWidth="1" min="6" max="6"/>
    <col width="50" customWidth="1" min="7" max="7"/>
  </cols>
  <sheetData>
    <row r="2" ht="30" customHeight="1">
      <c r="B2" s="1" t="inlineStr">
        <is>
          <t>Tab 1 — ASSUMPTIONS  /  Giả định đầu vào</t>
        </is>
      </c>
    </row>
    <row r="3" ht="19.5" customHeight="1">
      <c r="B3" s="45" t="inlineStr">
        <is>
          <t>Luật chơi: chỉ điền vào các ô MÀU VÀNG. Các ô khác là công thức và sẽ tự tính.</t>
        </is>
      </c>
    </row>
    <row r="5">
      <c r="B5" s="10" t="inlineStr">
        <is>
          <t>1. Product &amp; Pricing  /  Sản phẩm &amp; Giá</t>
        </is>
      </c>
    </row>
    <row r="6">
      <c r="C6" s="33" t="inlineStr">
        <is>
          <t>Optimistic</t>
        </is>
      </c>
      <c r="D6" s="34" t="inlineStr">
        <is>
          <t>Base</t>
        </is>
      </c>
      <c r="E6" s="42" t="inlineStr">
        <is>
          <t>Pessimistic</t>
        </is>
      </c>
      <c r="F6" s="43" t="inlineStr">
        <is>
          <t>Đơn vị</t>
        </is>
      </c>
      <c r="G6" s="17" t="inlineStr">
        <is>
          <t>Ghi chú / Note</t>
        </is>
      </c>
    </row>
    <row r="7">
      <c r="B7" s="13" t="inlineStr">
        <is>
          <t>ARPU — Giá bán bình quân/khách/tháng</t>
        </is>
      </c>
      <c r="C7" s="54" t="n">
        <v>299000</v>
      </c>
      <c r="D7" s="54" t="n">
        <v>159000</v>
      </c>
      <c r="E7" s="54" t="n">
        <v>129000</v>
      </c>
      <c r="F7" s="44" t="inlineStr">
        <is>
          <t>VND</t>
        </is>
      </c>
      <c r="G7" s="45" t="inlineStr">
        <is>
          <t>Pricing cao hơn → khó bán hơn nhưng margin tốt hơn</t>
        </is>
      </c>
    </row>
    <row r="8">
      <c r="B8" s="13" t="inlineStr">
        <is>
          <t>Adoption rate — % TAM chuyển thành khách/tháng</t>
        </is>
      </c>
      <c r="C8" s="55" t="n">
        <v>0.001</v>
      </c>
      <c r="D8" s="55" t="n">
        <v>0.0275</v>
      </c>
      <c r="E8" s="56" t="n">
        <v>0.01</v>
      </c>
      <c r="F8" s="44" t="inlineStr">
        <is>
          <t>%/tháng</t>
        </is>
      </c>
      <c r="G8" s="45" t="inlineStr">
        <is>
          <t>% TAM chuyển thành khách trả tiền mới mỗi tháng</t>
        </is>
      </c>
    </row>
    <row r="9">
      <c r="B9" s="13" t="inlineStr">
        <is>
          <t>Total addressable market (số khách tiềm năng)</t>
        </is>
      </c>
      <c r="C9" s="54" t="n">
        <v>1000000</v>
      </c>
      <c r="D9" s="54" t="n">
        <v>10000</v>
      </c>
      <c r="E9" s="54" t="n">
        <v>10000</v>
      </c>
      <c r="F9" s="44" t="inlineStr">
        <is>
          <t>khách</t>
        </is>
      </c>
      <c r="G9" s="45" t="inlineStr">
        <is>
          <t>Tổng số khách hàng tiềm năng có thể tiếp cận được</t>
        </is>
      </c>
    </row>
    <row r="11">
      <c r="B11" s="10" t="inlineStr">
        <is>
          <t>2. COGS  /  Chi phí biến đổi trên mỗi khách hàng</t>
        </is>
      </c>
    </row>
    <row r="12">
      <c r="B12" s="13" t="inlineStr">
        <is>
          <t>API cost / khách / tháng</t>
        </is>
      </c>
      <c r="C12" s="54" t="n">
        <v>10000</v>
      </c>
      <c r="D12" s="54" t="n">
        <v>8800</v>
      </c>
      <c r="E12" s="54" t="n">
        <v>8800</v>
      </c>
      <c r="F12" s="44" t="inlineStr">
        <is>
          <t>VND</t>
        </is>
      </c>
      <c r="G12" s="45" t="inlineStr">
        <is>
          <t>Tiền gọi OpenAI/Anthropic/Gemini API</t>
        </is>
      </c>
    </row>
    <row r="13">
      <c r="B13" s="13" t="inlineStr">
        <is>
          <t>Hidden costs (labeling, retraining, QA)</t>
        </is>
      </c>
      <c r="C13" s="54" t="n">
        <v>50000</v>
      </c>
      <c r="D13" s="54" t="n">
        <v>40000</v>
      </c>
      <c r="E13" s="54" t="n">
        <v>40000</v>
      </c>
      <c r="F13" s="44" t="inlineStr">
        <is>
          <t>VND</t>
        </is>
      </c>
      <c r="G13" s="45" t="inlineStr">
        <is>
          <t>Đừng quên! Đây là cục giết startup AI</t>
        </is>
      </c>
    </row>
    <row r="14" ht="17.55" customHeight="1">
      <c r="B14" s="13" t="inlineStr">
        <is>
          <t>Infrastructure (server/cloud) / khách</t>
        </is>
      </c>
      <c r="C14" s="54" t="n">
        <v>8000</v>
      </c>
      <c r="D14" s="54" t="n">
        <v>5000</v>
      </c>
      <c r="E14" s="54" t="n">
        <v>5000</v>
      </c>
      <c r="F14" s="44" t="inlineStr">
        <is>
          <t>VND</t>
        </is>
      </c>
      <c r="G14" s="45" t="inlineStr">
        <is>
          <t>Phần allocate cloud cost cho mỗi khách</t>
        </is>
      </c>
    </row>
    <row r="15">
      <c r="B15" s="49" t="inlineStr">
        <is>
          <t>→ Tổng COGS / khách / tháng</t>
        </is>
      </c>
      <c r="C15" s="57">
        <f>C12+C13+C14</f>
        <v/>
      </c>
      <c r="D15" s="57">
        <f>D12+D13+D14</f>
        <v/>
      </c>
      <c r="E15" s="57">
        <f>E12+E13+E14</f>
        <v/>
      </c>
      <c r="F15" s="53" t="n"/>
    </row>
    <row r="17">
      <c r="B17" s="10" t="inlineStr">
        <is>
          <t>3. Customer Behavior  /  Hành vi khách hàng</t>
        </is>
      </c>
    </row>
    <row r="18">
      <c r="B18" s="13" t="inlineStr">
        <is>
          <t>Monthly Churn Rate — % khách rời mỗi tháng</t>
        </is>
      </c>
      <c r="C18" s="56" t="n">
        <v>0.07000000000000001</v>
      </c>
      <c r="D18" s="56" t="n">
        <v>0.1</v>
      </c>
      <c r="E18" s="56" t="n">
        <v>0.15</v>
      </c>
      <c r="F18" s="44" t="inlineStr">
        <is>
          <t>%</t>
        </is>
      </c>
      <c r="G18" s="45" t="inlineStr">
        <is>
          <t>Benchmark AI product &lt; 5%/tháng</t>
        </is>
      </c>
    </row>
    <row r="19">
      <c r="B19" s="19" t="inlineStr">
        <is>
          <t>→ Số tháng ở lại trung bình</t>
        </is>
      </c>
      <c r="C19" s="58">
        <f>IFERROR(1/C18,0)</f>
        <v/>
      </c>
      <c r="D19" s="58">
        <f>IFERROR(1/D18,0)</f>
        <v/>
      </c>
      <c r="E19" s="58">
        <f>IFERROR(1/E18,0)</f>
        <v/>
      </c>
      <c r="F19" s="46" t="n"/>
    </row>
    <row r="21">
      <c r="B21" s="10" t="inlineStr">
        <is>
          <t>4. Sales &amp; Marketing  /  Chi phí thu hút khách</t>
        </is>
      </c>
    </row>
    <row r="22">
      <c r="B22" s="13" t="inlineStr">
        <is>
          <t>CAC — Tổng chi phí có 1 khách hàng mới</t>
        </is>
      </c>
      <c r="C22" s="54" t="n">
        <v>500000</v>
      </c>
      <c r="D22" s="54" t="n">
        <v>320000</v>
      </c>
      <c r="E22" s="54" t="n">
        <v>480000</v>
      </c>
      <c r="F22" s="44" t="inlineStr">
        <is>
          <t>VND</t>
        </is>
      </c>
      <c r="G22" s="45" t="inlineStr">
        <is>
          <t>Tổng tiền Marketing &amp; Sales / Số khách mới</t>
        </is>
      </c>
    </row>
    <row r="24">
      <c r="B24" s="10" t="inlineStr">
        <is>
          <t>5. Fixed Costs  /  Chi phí cố định hàng tháng</t>
        </is>
      </c>
    </row>
    <row r="25">
      <c r="B25" s="13" t="inlineStr">
        <is>
          <t>Salaries — Lương team (PM/Dev/Designer)</t>
        </is>
      </c>
      <c r="C25" s="54" t="n">
        <v>200000000</v>
      </c>
      <c r="D25" s="54" t="n">
        <v>50000000</v>
      </c>
      <c r="E25" s="54" t="n">
        <v>20000000</v>
      </c>
      <c r="F25" s="44" t="inlineStr">
        <is>
          <t>VND/tháng</t>
        </is>
      </c>
      <c r="G25" s="45" t="inlineStr">
        <is>
          <t>Pessimistic = phải hire thêm nếu khó scale</t>
        </is>
      </c>
    </row>
    <row r="26">
      <c r="B26" s="13" t="inlineStr">
        <is>
          <t>Office, tools, admin</t>
        </is>
      </c>
      <c r="C26" s="54" t="n">
        <v>30000000</v>
      </c>
      <c r="D26" s="54" t="n">
        <v>10000000</v>
      </c>
      <c r="E26" s="54" t="n">
        <v>10000000</v>
      </c>
      <c r="F26" s="44" t="inlineStr">
        <is>
          <t>VND/tháng</t>
        </is>
      </c>
    </row>
    <row r="27">
      <c r="B27" s="13" t="inlineStr">
        <is>
          <t>Marketing budget hàng tháng</t>
        </is>
      </c>
      <c r="C27" s="54" t="n">
        <v>50000000</v>
      </c>
      <c r="D27" s="54" t="n">
        <v>15000000</v>
      </c>
      <c r="E27" s="54" t="n">
        <v>5000000</v>
      </c>
      <c r="F27" s="44" t="inlineStr">
        <is>
          <t>VND/tháng</t>
        </is>
      </c>
    </row>
    <row r="28">
      <c r="B28" s="19" t="inlineStr">
        <is>
          <t>→ Tổng Fixed Cost / tháng</t>
        </is>
      </c>
      <c r="C28" s="59">
        <f>SUM(C25:C27)</f>
        <v/>
      </c>
      <c r="D28" s="59">
        <f>SUM(D25:D27)</f>
        <v/>
      </c>
      <c r="E28" s="59">
        <f>SUM(E25:E27)</f>
        <v/>
      </c>
      <c r="F28" s="46" t="n"/>
    </row>
    <row r="30">
      <c r="B30" s="10" t="inlineStr">
        <is>
          <t>6. Initial Investment  /  Vốn đầu tư ban đầu</t>
        </is>
      </c>
    </row>
    <row r="31">
      <c r="B31" s="13" t="inlineStr">
        <is>
          <t>Vốn đầu tư ban đầu (build MVP, setup)</t>
        </is>
      </c>
      <c r="C31" s="54" t="n">
        <v>1500000000</v>
      </c>
      <c r="D31" s="54" t="n">
        <v>300000000</v>
      </c>
      <c r="E31" s="54" t="n">
        <v>300000000</v>
      </c>
      <c r="F31" s="44" t="inlineStr">
        <is>
          <t>VND</t>
        </is>
      </c>
      <c r="G31" s="45" t="inlineStr">
        <is>
          <t>Chi phí 1 lần — lương team build MVP, infrastructure setup</t>
        </is>
      </c>
    </row>
    <row r="32">
      <c r="B32" s="13" t="inlineStr">
        <is>
          <t>Tiền mặt ban đầu (sau khi đã trừ vốn đầu tư)</t>
        </is>
      </c>
      <c r="C32" s="54" t="n">
        <v>3000000000</v>
      </c>
      <c r="D32" s="54" t="n">
        <v>1200000000</v>
      </c>
      <c r="E32" s="54" t="n">
        <v>1200000000</v>
      </c>
      <c r="F32" s="44" t="inlineStr">
        <is>
          <t>VND</t>
        </is>
      </c>
      <c r="G32" s="45" t="inlineStr">
        <is>
          <t>Số tiền có sẵn để chi trả fixed cost trong giai đoạn đầu</t>
        </is>
      </c>
    </row>
    <row r="34">
      <c r="B34" s="10" t="inlineStr">
        <is>
          <t>7. Discount Rate  /  Tỷ suất chiết khấu (cho NPV)</t>
        </is>
      </c>
    </row>
    <row r="35">
      <c r="B35" s="13" t="inlineStr">
        <is>
          <t>Annual discount rate (WACC)</t>
        </is>
      </c>
      <c r="C35" s="56" t="n">
        <v>0.2</v>
      </c>
      <c r="D35" s="56" t="n">
        <v>0.2</v>
      </c>
      <c r="E35" s="56" t="n">
        <v>0.2</v>
      </c>
      <c r="F35" s="44" t="inlineStr">
        <is>
          <t>%/năm</t>
        </is>
      </c>
      <c r="G35" s="45" t="inlineStr">
        <is>
          <t>Mức kỳ vọng tối thiểu của nhà đầu tư cho dự án AI rủi ro</t>
        </is>
      </c>
    </row>
    <row r="36">
      <c r="B36" s="19" t="inlineStr">
        <is>
          <t>→ Monthly discount rate</t>
        </is>
      </c>
      <c r="C36" s="60">
        <f>(1+C35)^(1/12)-1</f>
        <v/>
      </c>
      <c r="D36" s="60">
        <f>(1+D35)^(1/12)-1</f>
        <v/>
      </c>
      <c r="E36" s="60">
        <f>(1+E35)^(1/12)-1</f>
        <v/>
      </c>
      <c r="F36" s="46" t="n"/>
    </row>
    <row r="38">
      <c r="B38" s="10" t="inlineStr">
        <is>
          <t>8. Decision Note  /  Ghi chú quyết định</t>
        </is>
      </c>
    </row>
    <row r="39" ht="24.75" customHeight="1">
      <c r="B39" s="52" t="inlineStr">
        <is>
          <t>Chúng tôi lựa chọn Mô hình Hybrid Pricing với giá gói Base 159,000 VND/tháng dựa trên benchmark các công cụ AI SaaS E-commerce tại thị trường Việt Nam, kết hợp phí Overage theo dung lượng tin nhắn. Mức giá này giúp tối ưu tỷ lệ chuyển đổi khách hàng ban đầu, đồng thời tạo nguồn thu MRR cố định dự đoán trước. CAC Base 320,000 VND dựa trên kênh Inbound Content &amp; SEO. Chúng tôi dự phòng AI Hidden Costs ở mức 40,000 VND/khách/tháng (gấp 4.54 lần API Cost) cho Data Labeling, Retrain model định kỳ 3 tháng/lần và Human QA giữ chất lượng RAG. Base Case đạt LTV/CAC = 3.29x (&gt; 3.0x) và Payback 3.0 tháng (&lt; 12m). Kịch bản Pessimistic (Churn 15%, CAC 480k), Runway đạt 19 tháng nhờ vốn dự trữ 1.2 tỷ VNĐ.</t>
        </is>
      </c>
      <c r="C39" s="61" t="n"/>
      <c r="D39" s="61" t="n"/>
      <c r="E39" s="61" t="n"/>
      <c r="F39" s="61" t="n"/>
    </row>
    <row r="40" ht="24.75" customHeight="1">
      <c r="B40" s="62" t="n"/>
    </row>
    <row r="41" ht="24.75" customHeight="1">
      <c r="B41" s="62" t="n"/>
    </row>
  </sheetData>
  <mergeCells count="11">
    <mergeCell ref="B3:G3"/>
    <mergeCell ref="B21:F21"/>
    <mergeCell ref="B30:F30"/>
    <mergeCell ref="B24:F24"/>
    <mergeCell ref="B2:F2"/>
    <mergeCell ref="B34:F34"/>
    <mergeCell ref="B38:F38"/>
    <mergeCell ref="B11:F11"/>
    <mergeCell ref="B17:F17"/>
    <mergeCell ref="B5:F5"/>
    <mergeCell ref="B39:F4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G25"/>
  <sheetViews>
    <sheetView zoomScale="147" zoomScaleNormal="147" workbookViewId="0">
      <pane ySplit="5" topLeftCell="A6" activePane="bottomLeft" state="frozen"/>
      <selection activeCell="A1" sqref="A1"/>
      <selection pane="bottomLeft" activeCell="E21" sqref="E21"/>
    </sheetView>
  </sheetViews>
  <sheetFormatPr baseColWidth="8" defaultColWidth="8.6796875" defaultRowHeight="16.8"/>
  <cols>
    <col width="3" customWidth="1" min="1" max="1"/>
    <col width="38" customWidth="1" min="2" max="2"/>
    <col width="16" customWidth="1" min="3" max="5"/>
    <col width="14" customWidth="1" min="6" max="6"/>
    <col width="50" customWidth="1" min="7" max="7"/>
  </cols>
  <sheetData>
    <row r="2" ht="30" customHeight="1">
      <c r="B2" s="1" t="inlineStr">
        <is>
          <t>Tab 2 — UNIT ECONOMICS  /  Kinh tế đơn vị</t>
        </is>
      </c>
    </row>
    <row r="3" ht="19.5" customHeight="1">
      <c r="B3" s="45" t="inlineStr">
        <is>
          <t>Tự động tính từ Tab 1. Kiểm tra: LTV/CAC &gt; 3 (Base) và CAC Payback &lt; 12 tháng.</t>
        </is>
      </c>
    </row>
    <row r="5">
      <c r="B5" s="17" t="inlineStr">
        <is>
          <t>Chỉ số</t>
        </is>
      </c>
      <c r="C5" s="33" t="inlineStr">
        <is>
          <t>Optimistic</t>
        </is>
      </c>
      <c r="D5" s="34" t="inlineStr">
        <is>
          <t>Base</t>
        </is>
      </c>
      <c r="E5" s="42" t="inlineStr">
        <is>
          <t>Pessimistic</t>
        </is>
      </c>
      <c r="F5" s="43" t="inlineStr">
        <is>
          <t>Đơn vị</t>
        </is>
      </c>
      <c r="G5" s="17" t="inlineStr">
        <is>
          <t>Benchmark / Note</t>
        </is>
      </c>
    </row>
    <row r="7">
      <c r="B7" s="10" t="inlineStr">
        <is>
          <t>Trên mỗi khách hàng / per customer</t>
        </is>
      </c>
    </row>
    <row r="8">
      <c r="B8" s="13" t="inlineStr">
        <is>
          <t>ARPU / tháng</t>
        </is>
      </c>
      <c r="C8" s="63">
        <f>'1. Assumptions'!C7</f>
        <v/>
      </c>
      <c r="D8" s="63">
        <f>'1. Assumptions'!D7</f>
        <v/>
      </c>
      <c r="E8" s="63">
        <f>'1. Assumptions'!E7</f>
        <v/>
      </c>
      <c r="F8" s="44" t="inlineStr">
        <is>
          <t>VND</t>
        </is>
      </c>
      <c r="G8" s="45" t="inlineStr">
        <is>
          <t>Liên kết từ Tab Assumptions</t>
        </is>
      </c>
    </row>
    <row r="9">
      <c r="B9" s="13" t="inlineStr">
        <is>
          <t>COGS / tháng</t>
        </is>
      </c>
      <c r="C9" s="63">
        <f>'1. Assumptions'!C15</f>
        <v/>
      </c>
      <c r="D9" s="63">
        <f>'1. Assumptions'!D15</f>
        <v/>
      </c>
      <c r="E9" s="63">
        <f>'1. Assumptions'!E15</f>
        <v/>
      </c>
      <c r="F9" s="44" t="inlineStr">
        <is>
          <t>VND</t>
        </is>
      </c>
    </row>
    <row r="10">
      <c r="B10" s="19" t="inlineStr">
        <is>
          <t>→ Gross Profit / tháng</t>
        </is>
      </c>
      <c r="C10" s="59">
        <f>C8-C9</f>
        <v/>
      </c>
      <c r="D10" s="59">
        <f>D8-D9</f>
        <v/>
      </c>
      <c r="E10" s="59">
        <f>E8-E9</f>
        <v/>
      </c>
      <c r="F10" s="46" t="n"/>
    </row>
    <row r="11">
      <c r="B11" s="19" t="inlineStr">
        <is>
          <t>→ Gross Margin %</t>
        </is>
      </c>
      <c r="C11" s="60">
        <f>IFERROR(C10/C8,0)</f>
        <v/>
      </c>
      <c r="D11" s="60">
        <f>IFERROR(D10/D8,0)</f>
        <v/>
      </c>
      <c r="E11" s="60">
        <f>IFERROR(E10/E8,0)</f>
        <v/>
      </c>
      <c r="F11" s="46" t="n"/>
      <c r="G11" s="45" t="inlineStr">
        <is>
          <t>AI product target: 40-60%. SaaS truyền thống: 80%+</t>
        </is>
      </c>
    </row>
    <row r="13">
      <c r="B13" s="10" t="inlineStr">
        <is>
          <t>LTV — Customer Lifetime Value</t>
        </is>
      </c>
    </row>
    <row r="14">
      <c r="B14" s="13" t="inlineStr">
        <is>
          <t>Số tháng ở lại trung bình</t>
        </is>
      </c>
      <c r="C14" s="64">
        <f>'1. Assumptions'!C19</f>
        <v/>
      </c>
      <c r="D14" s="64">
        <f>'1. Assumptions'!D19</f>
        <v/>
      </c>
      <c r="E14" s="64">
        <f>'1. Assumptions'!E19</f>
        <v/>
      </c>
      <c r="F14" s="44" t="inlineStr">
        <is>
          <t>tháng</t>
        </is>
      </c>
    </row>
    <row r="15">
      <c r="B15" s="19" t="inlineStr">
        <is>
          <t>→ LTV = Gross Profit × Số tháng ở lại</t>
        </is>
      </c>
      <c r="C15" s="59">
        <f>C10*C14</f>
        <v/>
      </c>
      <c r="D15" s="59">
        <f>D10*D14</f>
        <v/>
      </c>
      <c r="E15" s="59">
        <f>E10*E14</f>
        <v/>
      </c>
      <c r="F15" s="46" t="n"/>
      <c r="G15" s="45" t="inlineStr">
        <is>
          <t>Tổng lợi nhuận gộp một khách mang lại trong vòng đời</t>
        </is>
      </c>
    </row>
    <row r="17">
      <c r="B17" s="10" t="inlineStr">
        <is>
          <t>CAC — Customer Acquisition Cost</t>
        </is>
      </c>
    </row>
    <row r="18">
      <c r="B18" s="13" t="inlineStr">
        <is>
          <t>CAC — Chi phí thu hút 1 khách</t>
        </is>
      </c>
      <c r="C18" s="63">
        <f>'1. Assumptions'!C22</f>
        <v/>
      </c>
      <c r="D18" s="63">
        <f>'1. Assumptions'!D22</f>
        <v/>
      </c>
      <c r="E18" s="63">
        <f>'1. Assumptions'!E22</f>
        <v/>
      </c>
      <c r="F18" s="44" t="inlineStr">
        <is>
          <t>VND</t>
        </is>
      </c>
    </row>
    <row r="20">
      <c r="B20" s="10" t="inlineStr">
        <is>
          <t>Key Ratios  /  Tỷ lệ then chốt</t>
        </is>
      </c>
    </row>
    <row r="21">
      <c r="B21" s="19" t="inlineStr">
        <is>
          <t>→ LTV / CAC Ratio</t>
        </is>
      </c>
      <c r="C21" s="65">
        <f>IFERROR(C15/C18,0)</f>
        <v/>
      </c>
      <c r="D21" s="65">
        <f>IFERROR(D15/D18,0)</f>
        <v/>
      </c>
      <c r="E21" s="65">
        <f>IFERROR(E15/E18,0)</f>
        <v/>
      </c>
      <c r="F21" s="46" t="n"/>
      <c r="G21" s="45" t="inlineStr">
        <is>
          <t>🎯 Target &gt; 3.0x (tiêu chuẩn vàng VC)</t>
        </is>
      </c>
    </row>
    <row r="22">
      <c r="B22" s="19" t="inlineStr">
        <is>
          <t>→ CAC Payback Period</t>
        </is>
      </c>
      <c r="C22" s="58">
        <f>IFERROR(C18/C10,0)</f>
        <v/>
      </c>
      <c r="D22" s="58">
        <f>IFERROR(D18/D10,0)</f>
        <v/>
      </c>
      <c r="E22" s="58">
        <f>IFERROR(E18/E10,0)</f>
        <v/>
      </c>
      <c r="F22" s="46" t="n"/>
      <c r="G22" s="45" t="inlineStr">
        <is>
          <t>🎯 Target &lt; 12 tháng (early-stage)</t>
        </is>
      </c>
    </row>
    <row r="24">
      <c r="B24" s="10" t="inlineStr">
        <is>
          <t>Verdict  /  Kết luận</t>
        </is>
      </c>
    </row>
    <row r="25">
      <c r="B25" s="17" t="inlineStr">
        <is>
          <t>Unit Economics Status</t>
        </is>
      </c>
      <c r="C25" s="41">
        <f>IF(AND(C21&gt;=3,C22&lt;=12),"✓ HEALTHY",IF(OR(C21&lt;1,C22&gt;18),"✗ UNHEALTHY","⚠ WATCH"))</f>
        <v/>
      </c>
      <c r="D25" s="41">
        <f>IF(AND(D21&gt;=3,D22&lt;=12),"✓ HEALTHY",IF(OR(D21&lt;1,D22&gt;18),"✗ UNHEALTHY","⚠ WATCH"))</f>
        <v/>
      </c>
      <c r="E25" s="41">
        <f>IF(AND(E21&gt;=3,E22&lt;=12),"✓ HEALTHY",IF(OR(E21&lt;1,E22&gt;18),"✗ UNHEALTHY","⚠ WATCH"))</f>
        <v/>
      </c>
    </row>
  </sheetData>
  <mergeCells count="7">
    <mergeCell ref="B3:G3"/>
    <mergeCell ref="B7:F7"/>
    <mergeCell ref="B24:F24"/>
    <mergeCell ref="B2:F2"/>
    <mergeCell ref="B20:F20"/>
    <mergeCell ref="B17:F17"/>
    <mergeCell ref="B13:F13"/>
  </mergeCells>
  <conditionalFormatting sqref="C21">
    <cfRule type="cellIs" priority="2" operator="lessThan" dxfId="0">
      <formula>1</formula>
    </cfRule>
    <cfRule type="cellIs" priority="3" operator="between" dxfId="1">
      <formula>1</formula>
      <formula>3</formula>
    </cfRule>
    <cfRule type="cellIs" priority="4" operator="greaterThanOrEqual" dxfId="2">
      <formula>3</formula>
    </cfRule>
  </conditionalFormatting>
  <conditionalFormatting sqref="D21">
    <cfRule type="cellIs" priority="5" operator="lessThan" dxfId="0">
      <formula>1</formula>
    </cfRule>
    <cfRule type="cellIs" priority="6" operator="between" dxfId="1">
      <formula>1</formula>
      <formula>3</formula>
    </cfRule>
    <cfRule type="cellIs" priority="7" operator="greaterThanOrEqual" dxfId="2">
      <formula>3</formula>
    </cfRule>
  </conditionalFormatting>
  <conditionalFormatting sqref="E21">
    <cfRule type="cellIs" priority="8" operator="lessThan" dxfId="0">
      <formula>1</formula>
    </cfRule>
    <cfRule type="cellIs" priority="9" operator="between" dxfId="1">
      <formula>1</formula>
      <formula>3</formula>
    </cfRule>
    <cfRule type="cellIs" priority="10" operator="greaterThanOrEqual" dxfId="2">
      <formula>3</formula>
    </cfRule>
  </conditionalFormatting>
  <conditionalFormatting sqref="C22">
    <cfRule type="cellIs" priority="11" operator="greaterThan" dxfId="0">
      <formula>18</formula>
    </cfRule>
    <cfRule type="cellIs" priority="12" operator="between" dxfId="1">
      <formula>12</formula>
      <formula>18</formula>
    </cfRule>
    <cfRule type="cellIs" priority="13" operator="lessThanOrEqual" dxfId="2">
      <formula>12</formula>
    </cfRule>
  </conditionalFormatting>
  <conditionalFormatting sqref="D22">
    <cfRule type="cellIs" priority="14" operator="greaterThan" dxfId="0">
      <formula>18</formula>
    </cfRule>
    <cfRule type="cellIs" priority="15" operator="between" dxfId="1">
      <formula>12</formula>
      <formula>18</formula>
    </cfRule>
    <cfRule type="cellIs" priority="16" operator="lessThanOrEqual" dxfId="2">
      <formula>12</formula>
    </cfRule>
  </conditionalFormatting>
  <conditionalFormatting sqref="E22">
    <cfRule type="cellIs" priority="17" operator="greaterThan" dxfId="0">
      <formula>18</formula>
    </cfRule>
    <cfRule type="cellIs" priority="18" operator="between" dxfId="1">
      <formula>12</formula>
      <formula>18</formula>
    </cfRule>
    <cfRule type="cellIs" priority="19" operator="lessThanOrEqual" dxfId="2">
      <formula>12</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AA44"/>
  <sheetViews>
    <sheetView zoomScale="173" zoomScaleNormal="173" workbookViewId="0">
      <pane xSplit="2" ySplit="21" topLeftCell="C26" activePane="bottomRight" state="frozen"/>
      <selection activeCell="A1" sqref="A1"/>
      <selection pane="topRight" activeCell="A1" sqref="A1"/>
      <selection pane="bottomLeft" activeCell="A1" sqref="A1"/>
      <selection pane="bottomRight" activeCell="C40" sqref="C40"/>
    </sheetView>
  </sheetViews>
  <sheetFormatPr baseColWidth="8" defaultColWidth="8.6796875" defaultRowHeight="16.8"/>
  <cols>
    <col width="3" customWidth="1" min="1" max="1"/>
    <col width="36" customWidth="1" min="2" max="2"/>
    <col width="13" customWidth="1" min="3" max="26"/>
    <col width="16" customWidth="1" min="27" max="27"/>
  </cols>
  <sheetData>
    <row r="2" hidden="1" ht="30" customHeight="1">
      <c r="B2" s="1" t="inlineStr">
        <is>
          <t>Tab 3 — P&amp;L &amp; ROI  /  24 tháng</t>
        </is>
      </c>
    </row>
    <row r="3" hidden="1"/>
    <row r="4" hidden="1" ht="15" customHeight="1">
      <c r="B4" s="2" t="inlineStr">
        <is>
          <t>Chọn scenario:</t>
        </is>
      </c>
      <c r="C4" s="3" t="inlineStr">
        <is>
          <t>Pessimistic</t>
        </is>
      </c>
      <c r="D4" s="45" t="inlineStr">
        <is>
          <t>Đổi scenario tại đây để toàn bộ P&amp;L tự cập nhật</t>
        </is>
      </c>
    </row>
    <row r="5" hidden="1"/>
    <row r="6" hidden="1">
      <c r="B6" s="5" t="inlineStr">
        <is>
          <t>Active scenario index:</t>
        </is>
      </c>
      <c r="C6" s="5">
        <f>MATCH(C4,{"Optimistic","Base","Pessimistic"},0)</f>
        <v/>
      </c>
    </row>
    <row r="7" hidden="1">
      <c r="B7" s="6" t="inlineStr">
        <is>
          <t>Selected scenario inputs ↓</t>
        </is>
      </c>
    </row>
    <row r="8" hidden="1">
      <c r="B8" s="7" t="inlineStr">
        <is>
          <t>ARPU / khách / tháng</t>
        </is>
      </c>
      <c r="C8" s="66">
        <f>CHOOSE($C$6,'1. Assumptions'!C7,'1. Assumptions'!D7,'1. Assumptions'!E7)</f>
        <v/>
      </c>
    </row>
    <row r="9" hidden="1">
      <c r="B9" s="7" t="inlineStr">
        <is>
          <t>Adoption rate</t>
        </is>
      </c>
      <c r="C9" s="67">
        <f>CHOOSE($C$6,'1. Assumptions'!C8,'1. Assumptions'!D8,'1. Assumptions'!E8)</f>
        <v/>
      </c>
    </row>
    <row r="10" hidden="1">
      <c r="B10" s="7" t="inlineStr">
        <is>
          <t>TAM (số khách tiềm năng)</t>
        </is>
      </c>
      <c r="C10" s="66">
        <f>CHOOSE($C$6,'1. Assumptions'!C9,'1. Assumptions'!D9,'1. Assumptions'!E9)</f>
        <v/>
      </c>
    </row>
    <row r="11" hidden="1">
      <c r="B11" s="7" t="inlineStr">
        <is>
          <t>Total COGS / khách</t>
        </is>
      </c>
      <c r="C11" s="66">
        <f>CHOOSE($C$6,'1. Assumptions'!C15,'1. Assumptions'!D15,'1. Assumptions'!E15)</f>
        <v/>
      </c>
    </row>
    <row r="12" hidden="1">
      <c r="B12" s="7" t="inlineStr">
        <is>
          <t>Monthly Churn Rate</t>
        </is>
      </c>
      <c r="C12" s="67">
        <f>CHOOSE($C$6,'1. Assumptions'!C18,'1. Assumptions'!D18,'1. Assumptions'!E18)</f>
        <v/>
      </c>
    </row>
    <row r="13" hidden="1">
      <c r="B13" s="7" t="inlineStr">
        <is>
          <t>CAC / khách mới</t>
        </is>
      </c>
      <c r="C13" s="66">
        <f>CHOOSE($C$6,'1. Assumptions'!C22,'1. Assumptions'!D22,'1. Assumptions'!E22)</f>
        <v/>
      </c>
    </row>
    <row r="14" hidden="1">
      <c r="B14" s="7" t="inlineStr">
        <is>
          <t>Fixed Cost / tháng</t>
        </is>
      </c>
      <c r="C14" s="66">
        <f>CHOOSE($C$6,'1. Assumptions'!C28,'1. Assumptions'!D28,'1. Assumptions'!E28)</f>
        <v/>
      </c>
    </row>
    <row r="15" hidden="1">
      <c r="B15" s="7" t="inlineStr">
        <is>
          <t>Initial Investment</t>
        </is>
      </c>
      <c r="C15" s="66">
        <f>CHOOSE($C$6,'1. Assumptions'!C31,'1. Assumptions'!D31,'1. Assumptions'!E31)</f>
        <v/>
      </c>
    </row>
    <row r="16" hidden="1">
      <c r="B16" s="7" t="inlineStr">
        <is>
          <t>Initial Cash</t>
        </is>
      </c>
      <c r="C16" s="66">
        <f>CHOOSE($C$6,'1. Assumptions'!C32,'1. Assumptions'!D32,'1. Assumptions'!E32)</f>
        <v/>
      </c>
    </row>
    <row r="17" hidden="1">
      <c r="B17" s="7" t="inlineStr">
        <is>
          <t>Monthly Discount Rate</t>
        </is>
      </c>
      <c r="C17" s="67">
        <f>CHOOSE($C$6,'1. Assumptions'!C36,'1. Assumptions'!D36,'1. Assumptions'!E36)</f>
        <v/>
      </c>
    </row>
    <row r="20" ht="16" customHeight="1">
      <c r="B20" s="10" t="inlineStr">
        <is>
          <t>P&amp;L Projection — 24 months  (VND)</t>
        </is>
      </c>
    </row>
    <row r="21">
      <c r="B21" s="11" t="inlineStr">
        <is>
          <t>Month</t>
        </is>
      </c>
      <c r="C21" s="12" t="inlineStr">
        <is>
          <t>M1</t>
        </is>
      </c>
      <c r="D21" s="12" t="inlineStr">
        <is>
          <t>M2</t>
        </is>
      </c>
      <c r="E21" s="12" t="inlineStr">
        <is>
          <t>M3</t>
        </is>
      </c>
      <c r="F21" s="12" t="inlineStr">
        <is>
          <t>M4</t>
        </is>
      </c>
      <c r="G21" s="12" t="inlineStr">
        <is>
          <t>M5</t>
        </is>
      </c>
      <c r="H21" s="12" t="inlineStr">
        <is>
          <t>M6</t>
        </is>
      </c>
      <c r="I21" s="12" t="inlineStr">
        <is>
          <t>M7</t>
        </is>
      </c>
      <c r="J21" s="12" t="inlineStr">
        <is>
          <t>M8</t>
        </is>
      </c>
      <c r="K21" s="12" t="inlineStr">
        <is>
          <t>M9</t>
        </is>
      </c>
      <c r="L21" s="12" t="inlineStr">
        <is>
          <t>M10</t>
        </is>
      </c>
      <c r="M21" s="12" t="inlineStr">
        <is>
          <t>M11</t>
        </is>
      </c>
      <c r="N21" s="12" t="inlineStr">
        <is>
          <t>M12</t>
        </is>
      </c>
      <c r="O21" s="12" t="inlineStr">
        <is>
          <t>M13</t>
        </is>
      </c>
      <c r="P21" s="12" t="inlineStr">
        <is>
          <t>M14</t>
        </is>
      </c>
      <c r="Q21" s="12" t="inlineStr">
        <is>
          <t>M15</t>
        </is>
      </c>
      <c r="R21" s="12" t="inlineStr">
        <is>
          <t>M16</t>
        </is>
      </c>
      <c r="S21" s="12" t="inlineStr">
        <is>
          <t>M17</t>
        </is>
      </c>
      <c r="T21" s="12" t="inlineStr">
        <is>
          <t>M18</t>
        </is>
      </c>
      <c r="U21" s="12" t="inlineStr">
        <is>
          <t>M19</t>
        </is>
      </c>
      <c r="V21" s="12" t="inlineStr">
        <is>
          <t>M20</t>
        </is>
      </c>
      <c r="W21" s="12" t="inlineStr">
        <is>
          <t>M21</t>
        </is>
      </c>
      <c r="X21" s="12" t="inlineStr">
        <is>
          <t>M22</t>
        </is>
      </c>
      <c r="Y21" s="12" t="inlineStr">
        <is>
          <t>M23</t>
        </is>
      </c>
      <c r="Z21" s="12" t="inlineStr">
        <is>
          <t>M24</t>
        </is>
      </c>
      <c r="AA21" s="29" t="inlineStr">
        <is>
          <t>TOTAL</t>
        </is>
      </c>
    </row>
    <row r="22">
      <c r="B22" s="13" t="inlineStr">
        <is>
          <t>New customers acquired</t>
        </is>
      </c>
      <c r="C22" s="68">
        <f>ROUND($C$10*$C$9,0)</f>
        <v/>
      </c>
      <c r="D22" s="68">
        <f>ROUND($C$10*$C$9,0)</f>
        <v/>
      </c>
      <c r="E22" s="68">
        <f>ROUND($C$10*$C$9,0)</f>
        <v/>
      </c>
      <c r="F22" s="68">
        <f>ROUND($C$10*$C$9,0)</f>
        <v/>
      </c>
      <c r="G22" s="68">
        <f>ROUND($C$10*$C$9,0)</f>
        <v/>
      </c>
      <c r="H22" s="68">
        <f>ROUND($C$10*$C$9,0)</f>
        <v/>
      </c>
      <c r="I22" s="68">
        <f>ROUND($C$10*$C$9,0)</f>
        <v/>
      </c>
      <c r="J22" s="68">
        <f>ROUND($C$10*$C$9,0)</f>
        <v/>
      </c>
      <c r="K22" s="68">
        <f>ROUND($C$10*$C$9,0)</f>
        <v/>
      </c>
      <c r="L22" s="68">
        <f>ROUND($C$10*$C$9,0)</f>
        <v/>
      </c>
      <c r="M22" s="68">
        <f>ROUND($C$10*$C$9,0)</f>
        <v/>
      </c>
      <c r="N22" s="68">
        <f>ROUND($C$10*$C$9,0)</f>
        <v/>
      </c>
      <c r="O22" s="68">
        <f>ROUND($C$10*$C$9,0)</f>
        <v/>
      </c>
      <c r="P22" s="68">
        <f>ROUND($C$10*$C$9,0)</f>
        <v/>
      </c>
      <c r="Q22" s="68">
        <f>ROUND($C$10*$C$9,0)</f>
        <v/>
      </c>
      <c r="R22" s="68">
        <f>ROUND($C$10*$C$9,0)</f>
        <v/>
      </c>
      <c r="S22" s="68">
        <f>ROUND($C$10*$C$9,0)</f>
        <v/>
      </c>
      <c r="T22" s="68">
        <f>ROUND($C$10*$C$9,0)</f>
        <v/>
      </c>
      <c r="U22" s="68">
        <f>ROUND($C$10*$C$9,0)</f>
        <v/>
      </c>
      <c r="V22" s="68">
        <f>ROUND($C$10*$C$9,0)</f>
        <v/>
      </c>
      <c r="W22" s="68">
        <f>ROUND($C$10*$C$9,0)</f>
        <v/>
      </c>
      <c r="X22" s="68">
        <f>ROUND($C$10*$C$9,0)</f>
        <v/>
      </c>
      <c r="Y22" s="68">
        <f>ROUND($C$10*$C$9,0)</f>
        <v/>
      </c>
      <c r="Z22" s="68">
        <f>ROUND($C$10*$C$9,0)</f>
        <v/>
      </c>
      <c r="AA22" s="69">
        <f>SUM(C22:Z22)</f>
        <v/>
      </c>
    </row>
    <row r="23">
      <c r="B23" s="13" t="inlineStr">
        <is>
          <t>Active customers (end of month)</t>
        </is>
      </c>
      <c r="C23" s="68">
        <f>C22</f>
        <v/>
      </c>
      <c r="D23" s="68">
        <f>C23*(1-$C$12)+D22</f>
        <v/>
      </c>
      <c r="E23" s="68">
        <f>D23*(1-$C$12)+E22</f>
        <v/>
      </c>
      <c r="F23" s="68">
        <f>E23*(1-$C$12)+F22</f>
        <v/>
      </c>
      <c r="G23" s="68">
        <f>F23*(1-$C$12)+G22</f>
        <v/>
      </c>
      <c r="H23" s="68">
        <f>G23*(1-$C$12)+H22</f>
        <v/>
      </c>
      <c r="I23" s="68">
        <f>H23*(1-$C$12)+I22</f>
        <v/>
      </c>
      <c r="J23" s="68">
        <f>I23*(1-$C$12)+J22</f>
        <v/>
      </c>
      <c r="K23" s="68">
        <f>J23*(1-$C$12)+K22</f>
        <v/>
      </c>
      <c r="L23" s="68">
        <f>K23*(1-$C$12)+L22</f>
        <v/>
      </c>
      <c r="M23" s="68">
        <f>L23*(1-$C$12)+M22</f>
        <v/>
      </c>
      <c r="N23" s="68">
        <f>M23*(1-$C$12)+N22</f>
        <v/>
      </c>
      <c r="O23" s="68">
        <f>N23*(1-$C$12)+O22</f>
        <v/>
      </c>
      <c r="P23" s="68">
        <f>O23*(1-$C$12)+P22</f>
        <v/>
      </c>
      <c r="Q23" s="68">
        <f>P23*(1-$C$12)+Q22</f>
        <v/>
      </c>
      <c r="R23" s="68">
        <f>Q23*(1-$C$12)+R22</f>
        <v/>
      </c>
      <c r="S23" s="68">
        <f>R23*(1-$C$12)+S22</f>
        <v/>
      </c>
      <c r="T23" s="68">
        <f>S23*(1-$C$12)+T22</f>
        <v/>
      </c>
      <c r="U23" s="68">
        <f>T23*(1-$C$12)+U22</f>
        <v/>
      </c>
      <c r="V23" s="68">
        <f>U23*(1-$C$12)+V22</f>
        <v/>
      </c>
      <c r="W23" s="68">
        <f>V23*(1-$C$12)+W22</f>
        <v/>
      </c>
      <c r="X23" s="68">
        <f>W23*(1-$C$12)+X22</f>
        <v/>
      </c>
      <c r="Y23" s="68">
        <f>X23*(1-$C$12)+Y22</f>
        <v/>
      </c>
      <c r="Z23" s="68">
        <f>Y23*(1-$C$12)+Z22</f>
        <v/>
      </c>
    </row>
    <row r="25">
      <c r="B25" s="15" t="inlineStr">
        <is>
          <t>Revenue</t>
        </is>
      </c>
      <c r="C25" s="70">
        <f>C23*$C$8</f>
        <v/>
      </c>
      <c r="D25" s="70">
        <f>D23*$C$8</f>
        <v/>
      </c>
      <c r="E25" s="70">
        <f>E23*$C$8</f>
        <v/>
      </c>
      <c r="F25" s="70">
        <f>F23*$C$8</f>
        <v/>
      </c>
      <c r="G25" s="70">
        <f>G23*$C$8</f>
        <v/>
      </c>
      <c r="H25" s="70">
        <f>H23*$C$8</f>
        <v/>
      </c>
      <c r="I25" s="70">
        <f>I23*$C$8</f>
        <v/>
      </c>
      <c r="J25" s="70">
        <f>J23*$C$8</f>
        <v/>
      </c>
      <c r="K25" s="70">
        <f>K23*$C$8</f>
        <v/>
      </c>
      <c r="L25" s="70">
        <f>L23*$C$8</f>
        <v/>
      </c>
      <c r="M25" s="70">
        <f>M23*$C$8</f>
        <v/>
      </c>
      <c r="N25" s="70">
        <f>N23*$C$8</f>
        <v/>
      </c>
      <c r="O25" s="70">
        <f>O23*$C$8</f>
        <v/>
      </c>
      <c r="P25" s="70">
        <f>P23*$C$8</f>
        <v/>
      </c>
      <c r="Q25" s="70">
        <f>Q23*$C$8</f>
        <v/>
      </c>
      <c r="R25" s="70">
        <f>R23*$C$8</f>
        <v/>
      </c>
      <c r="S25" s="70">
        <f>S23*$C$8</f>
        <v/>
      </c>
      <c r="T25" s="70">
        <f>T23*$C$8</f>
        <v/>
      </c>
      <c r="U25" s="70">
        <f>U23*$C$8</f>
        <v/>
      </c>
      <c r="V25" s="70">
        <f>V23*$C$8</f>
        <v/>
      </c>
      <c r="W25" s="70">
        <f>W23*$C$8</f>
        <v/>
      </c>
      <c r="X25" s="70">
        <f>X23*$C$8</f>
        <v/>
      </c>
      <c r="Y25" s="70">
        <f>Y23*$C$8</f>
        <v/>
      </c>
      <c r="Z25" s="70">
        <f>Z23*$C$8</f>
        <v/>
      </c>
      <c r="AA25" s="71">
        <f>SUM(C25:Z25)</f>
        <v/>
      </c>
    </row>
    <row r="26">
      <c r="B26" s="13" t="inlineStr">
        <is>
          <t>COGS (variable cost)</t>
        </is>
      </c>
      <c r="C26" s="68">
        <f>C23*$C$11</f>
        <v/>
      </c>
      <c r="D26" s="68">
        <f>D23*$C$11</f>
        <v/>
      </c>
      <c r="E26" s="68">
        <f>E23*$C$11</f>
        <v/>
      </c>
      <c r="F26" s="68">
        <f>F23*$C$11</f>
        <v/>
      </c>
      <c r="G26" s="68">
        <f>G23*$C$11</f>
        <v/>
      </c>
      <c r="H26" s="68">
        <f>H23*$C$11</f>
        <v/>
      </c>
      <c r="I26" s="68">
        <f>I23*$C$11</f>
        <v/>
      </c>
      <c r="J26" s="68">
        <f>J23*$C$11</f>
        <v/>
      </c>
      <c r="K26" s="68">
        <f>K23*$C$11</f>
        <v/>
      </c>
      <c r="L26" s="68">
        <f>L23*$C$11</f>
        <v/>
      </c>
      <c r="M26" s="68">
        <f>M23*$C$11</f>
        <v/>
      </c>
      <c r="N26" s="68">
        <f>N23*$C$11</f>
        <v/>
      </c>
      <c r="O26" s="68">
        <f>O23*$C$11</f>
        <v/>
      </c>
      <c r="P26" s="68">
        <f>P23*$C$11</f>
        <v/>
      </c>
      <c r="Q26" s="68">
        <f>Q23*$C$11</f>
        <v/>
      </c>
      <c r="R26" s="68">
        <f>R23*$C$11</f>
        <v/>
      </c>
      <c r="S26" s="68">
        <f>S23*$C$11</f>
        <v/>
      </c>
      <c r="T26" s="68">
        <f>T23*$C$11</f>
        <v/>
      </c>
      <c r="U26" s="68">
        <f>U23*$C$11</f>
        <v/>
      </c>
      <c r="V26" s="68">
        <f>V23*$C$11</f>
        <v/>
      </c>
      <c r="W26" s="68">
        <f>W23*$C$11</f>
        <v/>
      </c>
      <c r="X26" s="68">
        <f>X23*$C$11</f>
        <v/>
      </c>
      <c r="Y26" s="68">
        <f>Y23*$C$11</f>
        <v/>
      </c>
      <c r="Z26" s="68">
        <f>Z23*$C$11</f>
        <v/>
      </c>
      <c r="AA26" s="69">
        <f>SUM(C26:Z26)</f>
        <v/>
      </c>
    </row>
    <row r="27">
      <c r="B27" s="17" t="inlineStr">
        <is>
          <t>Gross Profit</t>
        </is>
      </c>
      <c r="C27" s="72">
        <f>C25-C26</f>
        <v/>
      </c>
      <c r="D27" s="72">
        <f>D25-D26</f>
        <v/>
      </c>
      <c r="E27" s="72">
        <f>E25-E26</f>
        <v/>
      </c>
      <c r="F27" s="72">
        <f>F25-F26</f>
        <v/>
      </c>
      <c r="G27" s="72">
        <f>G25-G26</f>
        <v/>
      </c>
      <c r="H27" s="72">
        <f>H25-H26</f>
        <v/>
      </c>
      <c r="I27" s="72">
        <f>I25-I26</f>
        <v/>
      </c>
      <c r="J27" s="72">
        <f>J25-J26</f>
        <v/>
      </c>
      <c r="K27" s="72">
        <f>K25-K26</f>
        <v/>
      </c>
      <c r="L27" s="72">
        <f>L25-L26</f>
        <v/>
      </c>
      <c r="M27" s="72">
        <f>M25-M26</f>
        <v/>
      </c>
      <c r="N27" s="72">
        <f>N25-N26</f>
        <v/>
      </c>
      <c r="O27" s="72">
        <f>O25-O26</f>
        <v/>
      </c>
      <c r="P27" s="72">
        <f>P25-P26</f>
        <v/>
      </c>
      <c r="Q27" s="72">
        <f>Q25-Q26</f>
        <v/>
      </c>
      <c r="R27" s="72">
        <f>R25-R26</f>
        <v/>
      </c>
      <c r="S27" s="72">
        <f>S25-S26</f>
        <v/>
      </c>
      <c r="T27" s="72">
        <f>T25-T26</f>
        <v/>
      </c>
      <c r="U27" s="72">
        <f>U25-U26</f>
        <v/>
      </c>
      <c r="V27" s="72">
        <f>V25-V26</f>
        <v/>
      </c>
      <c r="W27" s="72">
        <f>W25-W26</f>
        <v/>
      </c>
      <c r="X27" s="72">
        <f>X25-X26</f>
        <v/>
      </c>
      <c r="Y27" s="72">
        <f>Y25-Y26</f>
        <v/>
      </c>
      <c r="Z27" s="72">
        <f>Z25-Z26</f>
        <v/>
      </c>
      <c r="AA27" s="69">
        <f>SUM(C27:Z27)</f>
        <v/>
      </c>
    </row>
    <row r="28">
      <c r="B28" s="13" t="inlineStr">
        <is>
          <t>Marketing/Acquisition cost</t>
        </is>
      </c>
      <c r="C28" s="68">
        <f>C22*$C$13</f>
        <v/>
      </c>
      <c r="D28" s="68">
        <f>D22*$C$13</f>
        <v/>
      </c>
      <c r="E28" s="68">
        <f>E22*$C$13</f>
        <v/>
      </c>
      <c r="F28" s="68">
        <f>F22*$C$13</f>
        <v/>
      </c>
      <c r="G28" s="68">
        <f>G22*$C$13</f>
        <v/>
      </c>
      <c r="H28" s="68">
        <f>H22*$C$13</f>
        <v/>
      </c>
      <c r="I28" s="68">
        <f>I22*$C$13</f>
        <v/>
      </c>
      <c r="J28" s="68">
        <f>J22*$C$13</f>
        <v/>
      </c>
      <c r="K28" s="68">
        <f>K22*$C$13</f>
        <v/>
      </c>
      <c r="L28" s="68">
        <f>L22*$C$13</f>
        <v/>
      </c>
      <c r="M28" s="68">
        <f>M22*$C$13</f>
        <v/>
      </c>
      <c r="N28" s="68">
        <f>N22*$C$13</f>
        <v/>
      </c>
      <c r="O28" s="68">
        <f>O22*$C$13</f>
        <v/>
      </c>
      <c r="P28" s="68">
        <f>P22*$C$13</f>
        <v/>
      </c>
      <c r="Q28" s="68">
        <f>Q22*$C$13</f>
        <v/>
      </c>
      <c r="R28" s="68">
        <f>R22*$C$13</f>
        <v/>
      </c>
      <c r="S28" s="68">
        <f>S22*$C$13</f>
        <v/>
      </c>
      <c r="T28" s="68">
        <f>T22*$C$13</f>
        <v/>
      </c>
      <c r="U28" s="68">
        <f>U22*$C$13</f>
        <v/>
      </c>
      <c r="V28" s="68">
        <f>V22*$C$13</f>
        <v/>
      </c>
      <c r="W28" s="68">
        <f>W22*$C$13</f>
        <v/>
      </c>
      <c r="X28" s="68">
        <f>X22*$C$13</f>
        <v/>
      </c>
      <c r="Y28" s="68">
        <f>Y22*$C$13</f>
        <v/>
      </c>
      <c r="Z28" s="68">
        <f>Z22*$C$13</f>
        <v/>
      </c>
      <c r="AA28" s="69">
        <f>SUM(C28:Z28)</f>
        <v/>
      </c>
    </row>
    <row r="29">
      <c r="B29" s="13" t="inlineStr">
        <is>
          <t>Fixed cost (salaries + ops)</t>
        </is>
      </c>
      <c r="C29" s="68">
        <f>$C$14</f>
        <v/>
      </c>
      <c r="D29" s="68">
        <f>$C$14</f>
        <v/>
      </c>
      <c r="E29" s="68">
        <f>$C$14</f>
        <v/>
      </c>
      <c r="F29" s="68">
        <f>$C$14</f>
        <v/>
      </c>
      <c r="G29" s="68">
        <f>$C$14</f>
        <v/>
      </c>
      <c r="H29" s="68">
        <f>$C$14</f>
        <v/>
      </c>
      <c r="I29" s="68">
        <f>$C$14</f>
        <v/>
      </c>
      <c r="J29" s="68">
        <f>$C$14</f>
        <v/>
      </c>
      <c r="K29" s="68">
        <f>$C$14</f>
        <v/>
      </c>
      <c r="L29" s="68">
        <f>$C$14</f>
        <v/>
      </c>
      <c r="M29" s="68">
        <f>$C$14</f>
        <v/>
      </c>
      <c r="N29" s="68">
        <f>$C$14</f>
        <v/>
      </c>
      <c r="O29" s="68">
        <f>$C$14</f>
        <v/>
      </c>
      <c r="P29" s="68">
        <f>$C$14</f>
        <v/>
      </c>
      <c r="Q29" s="68">
        <f>$C$14</f>
        <v/>
      </c>
      <c r="R29" s="68">
        <f>$C$14</f>
        <v/>
      </c>
      <c r="S29" s="68">
        <f>$C$14</f>
        <v/>
      </c>
      <c r="T29" s="68">
        <f>$C$14</f>
        <v/>
      </c>
      <c r="U29" s="68">
        <f>$C$14</f>
        <v/>
      </c>
      <c r="V29" s="68">
        <f>$C$14</f>
        <v/>
      </c>
      <c r="W29" s="68">
        <f>$C$14</f>
        <v/>
      </c>
      <c r="X29" s="68">
        <f>$C$14</f>
        <v/>
      </c>
      <c r="Y29" s="68">
        <f>$C$14</f>
        <v/>
      </c>
      <c r="Z29" s="68">
        <f>$C$14</f>
        <v/>
      </c>
      <c r="AA29" s="69">
        <f>SUM(C29:Z29)</f>
        <v/>
      </c>
    </row>
    <row r="30">
      <c r="B30" s="19" t="inlineStr">
        <is>
          <t>Operating Profit (EBITDA)</t>
        </is>
      </c>
      <c r="C30" s="73">
        <f>C27-C28-C29</f>
        <v/>
      </c>
      <c r="D30" s="73">
        <f>D27-D28-D29</f>
        <v/>
      </c>
      <c r="E30" s="73">
        <f>E27-E28-E29</f>
        <v/>
      </c>
      <c r="F30" s="73">
        <f>F27-F28-F29</f>
        <v/>
      </c>
      <c r="G30" s="73">
        <f>G27-G28-G29</f>
        <v/>
      </c>
      <c r="H30" s="73">
        <f>H27-H28-H29</f>
        <v/>
      </c>
      <c r="I30" s="73">
        <f>I27-I28-I29</f>
        <v/>
      </c>
      <c r="J30" s="73">
        <f>J27-J28-J29</f>
        <v/>
      </c>
      <c r="K30" s="73">
        <f>K27-K28-K29</f>
        <v/>
      </c>
      <c r="L30" s="73">
        <f>L27-L28-L29</f>
        <v/>
      </c>
      <c r="M30" s="73">
        <f>M27-M28-M29</f>
        <v/>
      </c>
      <c r="N30" s="73">
        <f>N27-N28-N29</f>
        <v/>
      </c>
      <c r="O30" s="73">
        <f>O27-O28-O29</f>
        <v/>
      </c>
      <c r="P30" s="73">
        <f>P27-P28-P29</f>
        <v/>
      </c>
      <c r="Q30" s="73">
        <f>Q27-Q28-Q29</f>
        <v/>
      </c>
      <c r="R30" s="73">
        <f>R27-R28-R29</f>
        <v/>
      </c>
      <c r="S30" s="73">
        <f>S27-S28-S29</f>
        <v/>
      </c>
      <c r="T30" s="73">
        <f>T27-T28-T29</f>
        <v/>
      </c>
      <c r="U30" s="73">
        <f>U27-U28-U29</f>
        <v/>
      </c>
      <c r="V30" s="73">
        <f>V27-V28-V29</f>
        <v/>
      </c>
      <c r="W30" s="73">
        <f>W27-W28-W29</f>
        <v/>
      </c>
      <c r="X30" s="73">
        <f>X27-X28-X29</f>
        <v/>
      </c>
      <c r="Y30" s="73">
        <f>Y27-Y28-Y29</f>
        <v/>
      </c>
      <c r="Z30" s="73">
        <f>Z27-Z28-Z29</f>
        <v/>
      </c>
      <c r="AA30" s="74">
        <f>SUM(C30:Z30)</f>
        <v/>
      </c>
    </row>
    <row r="32">
      <c r="B32" s="13" t="inlineStr">
        <is>
          <t>Cash Flow (after investment)</t>
        </is>
      </c>
      <c r="C32" s="68">
        <f>C30-$C$15</f>
        <v/>
      </c>
      <c r="D32" s="68">
        <f>D30</f>
        <v/>
      </c>
      <c r="E32" s="68">
        <f>E30</f>
        <v/>
      </c>
      <c r="F32" s="68">
        <f>F30</f>
        <v/>
      </c>
      <c r="G32" s="68">
        <f>G30</f>
        <v/>
      </c>
      <c r="H32" s="68">
        <f>H30</f>
        <v/>
      </c>
      <c r="I32" s="68">
        <f>I30</f>
        <v/>
      </c>
      <c r="J32" s="68">
        <f>J30</f>
        <v/>
      </c>
      <c r="K32" s="68">
        <f>K30</f>
        <v/>
      </c>
      <c r="L32" s="68">
        <f>L30</f>
        <v/>
      </c>
      <c r="M32" s="68">
        <f>M30</f>
        <v/>
      </c>
      <c r="N32" s="68">
        <f>N30</f>
        <v/>
      </c>
      <c r="O32" s="68">
        <f>O30</f>
        <v/>
      </c>
      <c r="P32" s="68">
        <f>P30</f>
        <v/>
      </c>
      <c r="Q32" s="68">
        <f>Q30</f>
        <v/>
      </c>
      <c r="R32" s="68">
        <f>R30</f>
        <v/>
      </c>
      <c r="S32" s="68">
        <f>S30</f>
        <v/>
      </c>
      <c r="T32" s="68">
        <f>T30</f>
        <v/>
      </c>
      <c r="U32" s="68">
        <f>U30</f>
        <v/>
      </c>
      <c r="V32" s="68">
        <f>V30</f>
        <v/>
      </c>
      <c r="W32" s="68">
        <f>W30</f>
        <v/>
      </c>
      <c r="X32" s="68">
        <f>X30</f>
        <v/>
      </c>
      <c r="Y32" s="68">
        <f>Y30</f>
        <v/>
      </c>
      <c r="Z32" s="68">
        <f>Z30</f>
        <v/>
      </c>
      <c r="AA32" s="69">
        <f>SUM(C32:Z32)</f>
        <v/>
      </c>
    </row>
    <row r="33">
      <c r="B33" s="21" t="inlineStr">
        <is>
          <t>Cash Position (cumulative)</t>
        </is>
      </c>
      <c r="C33" s="75">
        <f>$C$16+C32</f>
        <v/>
      </c>
      <c r="D33" s="75">
        <f>C33+D32</f>
        <v/>
      </c>
      <c r="E33" s="75">
        <f>D33+E32</f>
        <v/>
      </c>
      <c r="F33" s="75">
        <f>E33+F32</f>
        <v/>
      </c>
      <c r="G33" s="75">
        <f>F33+G32</f>
        <v/>
      </c>
      <c r="H33" s="75">
        <f>G33+H32</f>
        <v/>
      </c>
      <c r="I33" s="75">
        <f>H33+I32</f>
        <v/>
      </c>
      <c r="J33" s="75">
        <f>I33+J32</f>
        <v/>
      </c>
      <c r="K33" s="75">
        <f>J33+K32</f>
        <v/>
      </c>
      <c r="L33" s="75">
        <f>K33+L32</f>
        <v/>
      </c>
      <c r="M33" s="75">
        <f>L33+M32</f>
        <v/>
      </c>
      <c r="N33" s="75">
        <f>M33+N32</f>
        <v/>
      </c>
      <c r="O33" s="75">
        <f>N33+O32</f>
        <v/>
      </c>
      <c r="P33" s="75">
        <f>O33+P32</f>
        <v/>
      </c>
      <c r="Q33" s="75">
        <f>P33+Q32</f>
        <v/>
      </c>
      <c r="R33" s="75">
        <f>Q33+R32</f>
        <v/>
      </c>
      <c r="S33" s="75">
        <f>R33+S32</f>
        <v/>
      </c>
      <c r="T33" s="75">
        <f>S33+T32</f>
        <v/>
      </c>
      <c r="U33" s="75">
        <f>T33+U32</f>
        <v/>
      </c>
      <c r="V33" s="75">
        <f>U33+V32</f>
        <v/>
      </c>
      <c r="W33" s="75">
        <f>V33+W32</f>
        <v/>
      </c>
      <c r="X33" s="75">
        <f>W33+X32</f>
        <v/>
      </c>
      <c r="Y33" s="75">
        <f>X33+Y32</f>
        <v/>
      </c>
      <c r="Z33" s="75">
        <f>Y33+Z32</f>
        <v/>
      </c>
    </row>
    <row r="36">
      <c r="B36" s="10" t="inlineStr">
        <is>
          <t>ROI Metrics  /  Chỉ số đánh giá tổng thể dự án</t>
        </is>
      </c>
    </row>
    <row r="37">
      <c r="B37" s="17" t="inlineStr">
        <is>
          <t>NPV (Net Present Value, mil VND)</t>
        </is>
      </c>
      <c r="C37" s="76">
        <f>(NPV($C$17,D32:Z32)+C32)/1000000</f>
        <v/>
      </c>
      <c r="D37" s="5">
        <f>"(target: &gt; 0)"</f>
        <v/>
      </c>
    </row>
    <row r="38">
      <c r="B38" s="17" t="inlineStr">
        <is>
          <t>IRR (Annual)</t>
        </is>
      </c>
      <c r="C38" s="77">
        <f>IFERROR((1+IRR(C32:Z32))^12-1,0)</f>
        <v/>
      </c>
      <c r="D38" s="5">
        <f>"(target: &gt; "&amp;TEXT(CHOOSE($C$6,'1. Assumptions'!C35,'1. Assumptions'!D35,'1. Assumptions'!E35),"0.0%")&amp;")"</f>
        <v/>
      </c>
    </row>
    <row r="39">
      <c r="B39" s="17" t="inlineStr">
        <is>
          <t>Project Payback (months)</t>
        </is>
      </c>
      <c r="C39" s="25">
        <f>IFERROR(MATCH(TRUE(),INDEX(C41:Z41&gt;=0,0),0),"&gt; 24")</f>
        <v/>
      </c>
      <c r="D39" s="5">
        <f>"(target: &lt; 24)"</f>
        <v/>
      </c>
    </row>
    <row r="40">
      <c r="B40" s="17" t="inlineStr">
        <is>
          <t>Runway (months until cash = 0)</t>
        </is>
      </c>
      <c r="C40" s="25">
        <f>IFERROR(MATCH(TRUE(),INDEX(C33:Z33&lt;0,0),0)-1,"&gt;= 24")</f>
        <v/>
      </c>
      <c r="D40" s="5">
        <f>"(target: &gt;= 12)"</f>
        <v/>
      </c>
    </row>
    <row r="41">
      <c r="B41" s="26" t="inlineStr">
        <is>
          <t>(helper: cumulative cash flow)</t>
        </is>
      </c>
      <c r="C41" s="78">
        <f>C32</f>
        <v/>
      </c>
      <c r="D41" s="78">
        <f>C41+D32</f>
        <v/>
      </c>
      <c r="E41" s="78">
        <f>D41+E32</f>
        <v/>
      </c>
      <c r="F41" s="78">
        <f>E41+F32</f>
        <v/>
      </c>
      <c r="G41" s="78">
        <f>F41+G32</f>
        <v/>
      </c>
      <c r="H41" s="78">
        <f>G41+H32</f>
        <v/>
      </c>
      <c r="I41" s="78">
        <f>H41+I32</f>
        <v/>
      </c>
      <c r="J41" s="78">
        <f>I41+J32</f>
        <v/>
      </c>
      <c r="K41" s="78">
        <f>J41+K32</f>
        <v/>
      </c>
      <c r="L41" s="78">
        <f>K41+L32</f>
        <v/>
      </c>
      <c r="M41" s="78">
        <f>L41+M32</f>
        <v/>
      </c>
      <c r="N41" s="78">
        <f>M41+N32</f>
        <v/>
      </c>
      <c r="O41" s="78">
        <f>N41+O32</f>
        <v/>
      </c>
      <c r="P41" s="78">
        <f>O41+P32</f>
        <v/>
      </c>
      <c r="Q41" s="78">
        <f>P41+Q32</f>
        <v/>
      </c>
      <c r="R41" s="78">
        <f>Q41+R32</f>
        <v/>
      </c>
      <c r="S41" s="78">
        <f>R41+S32</f>
        <v/>
      </c>
      <c r="T41" s="78">
        <f>S41+T32</f>
        <v/>
      </c>
      <c r="U41" s="78">
        <f>T41+U32</f>
        <v/>
      </c>
      <c r="V41" s="78">
        <f>U41+V32</f>
        <v/>
      </c>
      <c r="W41" s="78">
        <f>V41+W32</f>
        <v/>
      </c>
      <c r="X41" s="78">
        <f>W41+X32</f>
        <v/>
      </c>
      <c r="Y41" s="78">
        <f>X41+Y32</f>
        <v/>
      </c>
      <c r="Z41" s="78">
        <f>Y41+Z32</f>
        <v/>
      </c>
    </row>
    <row r="43">
      <c r="B43" s="10" t="inlineStr">
        <is>
          <t>Final Verdict  /  Có nên làm dự án này?</t>
        </is>
      </c>
    </row>
    <row r="44" ht="17.6" customHeight="1">
      <c r="B44" s="17" t="inlineStr">
        <is>
          <t>Project Decision</t>
        </is>
      </c>
      <c r="C44" s="28">
        <f>IF(AND(C37&gt;0,C38&gt;CHOOSE($C$6,'1. Assumptions'!C35,'1. Assumptions'!D35,'1. Assumptions'!E35)),"✓ GO — NPV+ và IRR &gt; WACC",IF(C37&lt;0,"✗ NO-GO — NPV âm: dự án không tạo giá trị","⚠ HOLD — IRR thấp hơn kỳ vọng, cần điều chỉnh"))</f>
        <v/>
      </c>
    </row>
  </sheetData>
  <mergeCells count="6">
    <mergeCell ref="D4:H4"/>
    <mergeCell ref="B36:J36"/>
    <mergeCell ref="B2:H2"/>
    <mergeCell ref="C44:J44"/>
    <mergeCell ref="B43:J43"/>
    <mergeCell ref="B20:AA20"/>
  </mergeCells>
  <conditionalFormatting sqref="C33">
    <cfRule type="cellIs" priority="2" operator="lessThan" dxfId="3">
      <formula>0</formula>
    </cfRule>
  </conditionalFormatting>
  <conditionalFormatting sqref="D33">
    <cfRule type="cellIs" priority="3" operator="lessThan" dxfId="3">
      <formula>0</formula>
    </cfRule>
  </conditionalFormatting>
  <conditionalFormatting sqref="E33">
    <cfRule type="cellIs" priority="4" operator="lessThan" dxfId="3">
      <formula>0</formula>
    </cfRule>
  </conditionalFormatting>
  <conditionalFormatting sqref="F33">
    <cfRule type="cellIs" priority="5" operator="lessThan" dxfId="3">
      <formula>0</formula>
    </cfRule>
  </conditionalFormatting>
  <conditionalFormatting sqref="G33">
    <cfRule type="cellIs" priority="6" operator="lessThan" dxfId="3">
      <formula>0</formula>
    </cfRule>
  </conditionalFormatting>
  <conditionalFormatting sqref="H33">
    <cfRule type="cellIs" priority="7" operator="lessThan" dxfId="3">
      <formula>0</formula>
    </cfRule>
  </conditionalFormatting>
  <conditionalFormatting sqref="I33">
    <cfRule type="cellIs" priority="8" operator="lessThan" dxfId="3">
      <formula>0</formula>
    </cfRule>
  </conditionalFormatting>
  <conditionalFormatting sqref="J33">
    <cfRule type="cellIs" priority="9" operator="lessThan" dxfId="3">
      <formula>0</formula>
    </cfRule>
  </conditionalFormatting>
  <conditionalFormatting sqref="K33">
    <cfRule type="cellIs" priority="10" operator="lessThan" dxfId="3">
      <formula>0</formula>
    </cfRule>
  </conditionalFormatting>
  <conditionalFormatting sqref="L33">
    <cfRule type="cellIs" priority="11" operator="lessThan" dxfId="3">
      <formula>0</formula>
    </cfRule>
  </conditionalFormatting>
  <conditionalFormatting sqref="M33">
    <cfRule type="cellIs" priority="12" operator="lessThan" dxfId="3">
      <formula>0</formula>
    </cfRule>
  </conditionalFormatting>
  <conditionalFormatting sqref="N33">
    <cfRule type="cellIs" priority="13" operator="lessThan" dxfId="3">
      <formula>0</formula>
    </cfRule>
  </conditionalFormatting>
  <conditionalFormatting sqref="O33">
    <cfRule type="cellIs" priority="14" operator="lessThan" dxfId="3">
      <formula>0</formula>
    </cfRule>
  </conditionalFormatting>
  <conditionalFormatting sqref="P33">
    <cfRule type="cellIs" priority="15" operator="lessThan" dxfId="3">
      <formula>0</formula>
    </cfRule>
  </conditionalFormatting>
  <conditionalFormatting sqref="Q33">
    <cfRule type="cellIs" priority="16" operator="lessThan" dxfId="3">
      <formula>0</formula>
    </cfRule>
  </conditionalFormatting>
  <conditionalFormatting sqref="R33">
    <cfRule type="cellIs" priority="17" operator="lessThan" dxfId="3">
      <formula>0</formula>
    </cfRule>
  </conditionalFormatting>
  <conditionalFormatting sqref="S33">
    <cfRule type="cellIs" priority="18" operator="lessThan" dxfId="3">
      <formula>0</formula>
    </cfRule>
  </conditionalFormatting>
  <conditionalFormatting sqref="T33">
    <cfRule type="cellIs" priority="19" operator="lessThan" dxfId="3">
      <formula>0</formula>
    </cfRule>
  </conditionalFormatting>
  <conditionalFormatting sqref="U33">
    <cfRule type="cellIs" priority="20" operator="lessThan" dxfId="3">
      <formula>0</formula>
    </cfRule>
  </conditionalFormatting>
  <conditionalFormatting sqref="V33">
    <cfRule type="cellIs" priority="21" operator="lessThan" dxfId="3">
      <formula>0</formula>
    </cfRule>
  </conditionalFormatting>
  <conditionalFormatting sqref="W33">
    <cfRule type="cellIs" priority="22" operator="lessThan" dxfId="3">
      <formula>0</formula>
    </cfRule>
  </conditionalFormatting>
  <conditionalFormatting sqref="X33">
    <cfRule type="cellIs" priority="23" operator="lessThan" dxfId="3">
      <formula>0</formula>
    </cfRule>
  </conditionalFormatting>
  <conditionalFormatting sqref="Y33">
    <cfRule type="cellIs" priority="24" operator="lessThan" dxfId="3">
      <formula>0</formula>
    </cfRule>
  </conditionalFormatting>
  <conditionalFormatting sqref="Z33">
    <cfRule type="cellIs" priority="25" operator="lessThan" dxfId="3">
      <formula>0</formula>
    </cfRule>
  </conditionalFormatting>
  <conditionalFormatting sqref="C37">
    <cfRule type="cellIs" priority="26" operator="greaterThan" dxfId="4">
      <formula>0</formula>
    </cfRule>
    <cfRule type="cellIs" priority="27" operator="lessThanOrEqual" dxfId="5">
      <formula>0</formula>
    </cfRule>
  </conditionalFormatting>
  <conditionalFormatting sqref="C38">
    <cfRule type="expression" priority="28" dxfId="4">
      <formula>C38&gt;CHOOSE($C$6,'1. Assumptions'!C35,'1. Assumptions'!D35,'1. Assumptions'!E35)</formula>
    </cfRule>
    <cfRule type="expression" priority="29" dxfId="5">
      <formula>C38&lt;=CHOOSE($C$6,'1. Assumptions'!C35,'1. Assumptions'!D35,'1. Assumptions'!E35)</formula>
    </cfRule>
  </conditionalFormatting>
  <conditionalFormatting sqref="C40">
    <cfRule type="expression" priority="30" dxfId="5">
      <formula>AND(ISNUMBER(C40),C40&lt;12)</formula>
    </cfRule>
  </conditionalFormatting>
  <dataValidations count="1">
    <dataValidation sqref="C4" showDropDown="0" showInputMessage="0" showErrorMessage="0" allowBlank="0" type="list">
      <formula1>"Optimistic,Base,Pessimistic"</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2026-05-03T22:07:00Z</dcterms:created>
  <dcterms:modified xmlns:dcterms="http://purl.org/dc/terms/" xmlns:xsi="http://www.w3.org/2001/XMLSchema-instance" xsi:type="dcterms:W3CDTF">2026-08-26T05:03:43Z</dcterms:modified>
  <cp:lastModifiedBy>Quyền Đàm Bá</cp:lastModifiedBy>
  <cp:revision>0</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9F7AB3F7979B97FA0967F869EA163140_42</vt:lpwstr>
  </property>
  <property name="KSOProductBuildVer" fmtid="{D5CDD505-2E9C-101B-9397-08002B2CF9AE}" pid="3">
    <vt:lpwstr xmlns:vt="http://schemas.openxmlformats.org/officeDocument/2006/docPropsVTypes">1033-12.1.23135.23135</vt:lpwstr>
  </property>
</Properties>
</file>